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76" windowHeight="13695" tabRatio="600" firstSheet="0" activeTab="0" autoFilterDateGrouping="1"/>
  </bookViews>
  <sheets>
    <sheet xmlns:r="http://schemas.openxmlformats.org/officeDocument/2006/relationships" name="總課表" sheetId="1" state="visible" r:id="rId1"/>
    <sheet xmlns:r="http://schemas.openxmlformats.org/officeDocument/2006/relationships" name="配速表" sheetId="2" state="visible" r:id="rId2"/>
    <sheet xmlns:r="http://schemas.openxmlformats.org/officeDocument/2006/relationships" name="課表重點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[$-404]aaa"/>
    <numFmt numFmtId="166" formatCode="m:ss"/>
  </numFmts>
  <fonts count="34">
    <font>
      <name val="Calibri"/>
      <color rgb="FF000000"/>
      <sz val="10"/>
      <scheme val="minor"/>
    </font>
    <font>
      <name val="Arial"/>
      <b val="1"/>
      <color theme="1"/>
      <sz val="14"/>
    </font>
    <font>
      <name val="Arial"/>
      <b val="1"/>
      <color rgb="FF3F3F3F"/>
      <sz val="16"/>
    </font>
    <font>
      <name val="Calibri"/>
      <b val="1"/>
      <color rgb="FF000000"/>
      <sz val="18"/>
    </font>
    <font>
      <name val="Arial"/>
      <color rgb="FF000000"/>
      <sz val="10"/>
    </font>
    <font>
      <name val="Microsoft JhengHei"/>
      <charset val="136"/>
      <family val="2"/>
      <color rgb="FF000000"/>
      <sz val="10"/>
    </font>
    <font>
      <name val="Noto Serif TC SemiBold"/>
      <charset val="136"/>
      <family val="1"/>
      <color rgb="FF000000"/>
      <sz val="10"/>
    </font>
    <font>
      <name val="Microsoft JhengHei"/>
      <charset val="136"/>
      <family val="2"/>
      <color theme="0"/>
      <sz val="10"/>
    </font>
    <font>
      <name val="Times New Roman"/>
      <color rgb="FF000000"/>
      <sz val="12"/>
    </font>
    <font>
      <name val="Times New Roman"/>
      <b val="1"/>
      <color rgb="FF000000"/>
      <sz val="12"/>
    </font>
    <font>
      <name val="Times New Roman"/>
      <color rgb="FFC00000"/>
      <sz val="12"/>
    </font>
    <font>
      <name val="Noto Sans"/>
      <color rgb="FF000000"/>
      <sz val="10"/>
    </font>
    <font>
      <name val="Noto Serif HK Light"/>
      <charset val="136"/>
      <family val="1"/>
      <color rgb="FF000000"/>
      <sz val="10"/>
    </font>
    <font>
      <name val="Times New Roman"/>
      <color theme="0"/>
      <sz val="12"/>
    </font>
    <font>
      <name val="Times New Roman"/>
      <b val="1"/>
      <color theme="0"/>
      <sz val="12"/>
    </font>
    <font>
      <name val="PMingLiu"/>
      <charset val="136"/>
      <family val="1"/>
      <b val="1"/>
      <color theme="0"/>
      <sz val="10"/>
    </font>
    <font>
      <name val="Times New Roman"/>
      <b val="1"/>
      <color theme="0"/>
      <sz val="18"/>
    </font>
    <font>
      <name val="Times New Roman"/>
      <b val="1"/>
      <color rgb="FF000000"/>
      <sz val="18"/>
    </font>
    <font>
      <name val="Noto Sans"/>
      <color theme="0"/>
      <sz val="10"/>
    </font>
    <font>
      <name val="PMingLiu"/>
      <charset val="136"/>
      <family val="1"/>
      <color rgb="FF000000"/>
      <sz val="10"/>
    </font>
    <font>
      <name val="Noto Sans"/>
      <b val="1"/>
      <color rgb="FFFFFFFF"/>
      <sz val="12"/>
    </font>
    <font>
      <name val="Noto Sans"/>
      <b val="1"/>
      <color theme="1"/>
      <sz val="12"/>
    </font>
    <font>
      <name val="Arial"/>
      <b val="1"/>
      <color rgb="FFC00000"/>
      <sz val="14"/>
    </font>
    <font>
      <name val="Noto Sans"/>
      <i val="1"/>
      <color rgb="FF595959"/>
      <sz val="10"/>
    </font>
    <font>
      <name val="PMingLiu"/>
      <charset val="136"/>
      <family val="1"/>
      <color theme="1"/>
      <sz val="10"/>
    </font>
    <font>
      <name val="Arial"/>
      <b val="1"/>
      <color rgb="FFC00000"/>
      <sz val="12"/>
    </font>
    <font>
      <name val="Arial"/>
      <b val="1"/>
      <color rgb="FF000000"/>
      <sz val="10"/>
    </font>
    <font>
      <name val="Times New Roman"/>
      <color rgb="FF000000"/>
      <sz val="11"/>
    </font>
    <font>
      <name val="PMingLiu"/>
      <charset val="136"/>
      <family val="1"/>
      <b val="1"/>
      <color rgb="FF000000"/>
      <sz val="10"/>
    </font>
    <font>
      <name val="Noto Serif TC Light"/>
      <charset val="136"/>
      <family val="1"/>
      <color rgb="FF000000"/>
      <sz val="10"/>
    </font>
    <font>
      <name val="Noto Serif TC Light"/>
      <charset val="136"/>
      <family val="1"/>
      <color theme="1"/>
      <sz val="10"/>
    </font>
    <font>
      <name val="Calibri"/>
      <charset val="136"/>
      <family val="3"/>
      <sz val="9"/>
      <scheme val="minor"/>
    </font>
    <font>
      <name val="Arial"/>
      <family val="2"/>
      <b val="1"/>
      <color theme="0"/>
      <sz val="14"/>
    </font>
    <font>
      <name val="Calibri"/>
      <family val="2"/>
      <color theme="0"/>
      <sz val="10"/>
      <scheme val="minor"/>
    </font>
  </fonts>
  <fills count="22">
    <fill>
      <patternFill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theme="5"/>
        <bgColor theme="5"/>
      </patternFill>
    </fill>
    <fill>
      <patternFill patternType="solid">
        <fgColor rgb="FFC00000"/>
        <bgColor rgb="FFC00000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FF9999"/>
        <bgColor rgb="FFFF9999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70C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1"/>
  </cellStyleXfs>
  <cellXfs count="164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5" fillId="0" borderId="6" pivotButton="0" quotePrefix="0" xfId="0"/>
    <xf numFmtId="165" fontId="5" fillId="0" borderId="6" pivotButton="0" quotePrefix="0" xfId="0"/>
    <xf numFmtId="45" fontId="7" fillId="6" borderId="6" applyAlignment="1" pivotButton="0" quotePrefix="0" xfId="0">
      <alignment horizontal="center" vertical="center"/>
    </xf>
    <xf numFmtId="45" fontId="5" fillId="3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/>
    </xf>
    <xf numFmtId="45" fontId="5" fillId="8" borderId="6" applyAlignment="1" pivotButton="0" quotePrefix="0" xfId="0">
      <alignment horizontal="center" vertical="center"/>
    </xf>
    <xf numFmtId="45" fontId="5" fillId="9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14" fontId="4" fillId="0" borderId="0" pivotButton="0" quotePrefix="0" xfId="0"/>
    <xf numFmtId="165" fontId="4" fillId="0" borderId="0" pivotButton="0" quotePrefix="0" xfId="0"/>
    <xf numFmtId="165" fontId="5" fillId="11" borderId="6" pivotButton="0" quotePrefix="0" xfId="0"/>
    <xf numFmtId="14" fontId="12" fillId="0" borderId="0" pivotButton="0" quotePrefix="0" xfId="0"/>
    <xf numFmtId="165" fontId="12" fillId="0" borderId="0" pivotButton="0" quotePrefix="0" xfId="0"/>
    <xf numFmtId="0" fontId="12" fillId="0" borderId="0" pivotButton="0" quotePrefix="0" xfId="0"/>
    <xf numFmtId="0" fontId="12" fillId="0" borderId="12" pivotButton="0" quotePrefix="0" xfId="0"/>
    <xf numFmtId="164" fontId="5" fillId="0" borderId="15" pivotButton="0" quotePrefix="0" xfId="0"/>
    <xf numFmtId="165" fontId="5" fillId="11" borderId="15" pivotButton="0" quotePrefix="0" xfId="0"/>
    <xf numFmtId="45" fontId="5" fillId="3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/>
    </xf>
    <xf numFmtId="0" fontId="9" fillId="0" borderId="15" applyAlignment="1" pivotButton="0" quotePrefix="0" xfId="0">
      <alignment horizontal="center"/>
    </xf>
    <xf numFmtId="164" fontId="5" fillId="0" borderId="3" pivotButton="0" quotePrefix="0" xfId="0"/>
    <xf numFmtId="165" fontId="5" fillId="0" borderId="3" pivotButton="0" quotePrefix="0" xfId="0"/>
    <xf numFmtId="45" fontId="5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14" fontId="12" fillId="0" borderId="18" pivotButton="0" quotePrefix="0" xfId="0"/>
    <xf numFmtId="165" fontId="12" fillId="0" borderId="18" pivotButton="0" quotePrefix="0" xfId="0"/>
    <xf numFmtId="0" fontId="12" fillId="0" borderId="18" pivotButton="0" quotePrefix="0" xfId="0"/>
    <xf numFmtId="0" fontId="12" fillId="0" borderId="19" pivotButton="0" quotePrefix="0" xfId="0"/>
    <xf numFmtId="45" fontId="13" fillId="6" borderId="6" applyAlignment="1" pivotButton="0" quotePrefix="0" xfId="0">
      <alignment horizontal="center" vertical="center"/>
    </xf>
    <xf numFmtId="45" fontId="14" fillId="6" borderId="6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45" fontId="7" fillId="2" borderId="15" applyAlignment="1" pivotButton="0" quotePrefix="0" xfId="0">
      <alignment horizontal="center" vertical="center" wrapText="1"/>
    </xf>
    <xf numFmtId="0" fontId="13" fillId="5" borderId="1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5" fillId="5" borderId="1" applyAlignment="1" pivotButton="0" quotePrefix="0" xfId="0">
      <alignment horizontal="center" vertical="center"/>
    </xf>
    <xf numFmtId="0" fontId="4" fillId="0" borderId="5" pivotButton="0" quotePrefix="0" xfId="0"/>
    <xf numFmtId="0" fontId="4" fillId="0" borderId="6" pivotButton="0" quotePrefix="0" xfId="0"/>
    <xf numFmtId="45" fontId="11" fillId="3" borderId="6" applyAlignment="1" pivotButton="0" quotePrefix="0" xfId="0">
      <alignment horizontal="center" vertical="center" wrapText="1"/>
    </xf>
    <xf numFmtId="45" fontId="18" fillId="2" borderId="6" applyAlignment="1" pivotButton="0" quotePrefix="0" xfId="0">
      <alignment horizontal="center" vertical="center" wrapText="1"/>
    </xf>
    <xf numFmtId="0" fontId="11" fillId="7" borderId="6" applyAlignment="1" pivotButton="0" quotePrefix="0" xfId="0">
      <alignment horizontal="center" vertical="center"/>
    </xf>
    <xf numFmtId="45" fontId="11" fillId="8" borderId="6" applyAlignment="1" pivotButton="0" quotePrefix="0" xfId="0">
      <alignment horizontal="center" vertical="center"/>
    </xf>
    <xf numFmtId="45" fontId="11" fillId="9" borderId="6" applyAlignment="1" pivotButton="0" quotePrefix="0" xfId="0">
      <alignment horizontal="center" vertical="center"/>
    </xf>
    <xf numFmtId="45" fontId="18" fillId="6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19" fillId="0" borderId="11" pivotButton="0" quotePrefix="0" xfId="0"/>
    <xf numFmtId="0" fontId="4" fillId="0" borderId="13" pivotButton="0" quotePrefix="0" xfId="0"/>
    <xf numFmtId="0" fontId="4" fillId="0" borderId="15" pivotButton="0" quotePrefix="0" xfId="0"/>
    <xf numFmtId="0" fontId="4" fillId="0" borderId="2" pivotButton="0" quotePrefix="0" xfId="0"/>
    <xf numFmtId="0" fontId="4" fillId="0" borderId="3" pivotButton="0" quotePrefix="0" xfId="0"/>
    <xf numFmtId="0" fontId="19" fillId="0" borderId="17" pivotButton="0" quotePrefix="0" xfId="0"/>
    <xf numFmtId="0" fontId="11" fillId="0" borderId="6" applyAlignment="1" pivotButton="0" quotePrefix="0" xfId="0">
      <alignment horizontal="center"/>
    </xf>
    <xf numFmtId="0" fontId="21" fillId="0" borderId="0" applyAlignment="1" pivotButton="0" quotePrefix="0" xfId="0">
      <alignment horizontal="right" vertical="center"/>
    </xf>
    <xf numFmtId="20" fontId="22" fillId="15" borderId="2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/>
    </xf>
    <xf numFmtId="0" fontId="19" fillId="16" borderId="6" applyAlignment="1" pivotButton="0" quotePrefix="0" xfId="0">
      <alignment horizontal="center"/>
    </xf>
    <xf numFmtId="0" fontId="19" fillId="3" borderId="6" applyAlignment="1" pivotButton="0" quotePrefix="0" xfId="0">
      <alignment horizontal="center"/>
    </xf>
    <xf numFmtId="0" fontId="19" fillId="17" borderId="6" applyAlignment="1" pivotButton="0" quotePrefix="0" xfId="0">
      <alignment horizontal="center"/>
    </xf>
    <xf numFmtId="0" fontId="19" fillId="7" borderId="6" applyAlignment="1" pivotButton="0" quotePrefix="0" xfId="0">
      <alignment horizontal="center"/>
    </xf>
    <xf numFmtId="0" fontId="19" fillId="8" borderId="6" applyAlignment="1" pivotButton="0" quotePrefix="0" xfId="0">
      <alignment horizontal="center"/>
    </xf>
    <xf numFmtId="0" fontId="19" fillId="18" borderId="6" applyAlignment="1" pivotButton="0" quotePrefix="0" xfId="0">
      <alignment horizontal="center"/>
    </xf>
    <xf numFmtId="0" fontId="19" fillId="12" borderId="6" applyAlignment="1" pivotButton="0" quotePrefix="0" xfId="0">
      <alignment horizontal="center"/>
    </xf>
    <xf numFmtId="0" fontId="19" fillId="9" borderId="6" applyAlignment="1" pivotButton="0" quotePrefix="0" xfId="0">
      <alignment horizontal="center"/>
    </xf>
    <xf numFmtId="0" fontId="25" fillId="0" borderId="6" applyAlignment="1" pivotButton="0" quotePrefix="0" xfId="0">
      <alignment horizontal="center" vertical="center"/>
    </xf>
    <xf numFmtId="20" fontId="26" fillId="0" borderId="6" applyAlignment="1" pivotButton="0" quotePrefix="0" xfId="0">
      <alignment horizontal="center"/>
    </xf>
    <xf numFmtId="45" fontId="27" fillId="16" borderId="6" pivotButton="0" quotePrefix="0" xfId="0"/>
    <xf numFmtId="45" fontId="27" fillId="3" borderId="6" pivotButton="0" quotePrefix="0" xfId="0"/>
    <xf numFmtId="45" fontId="27" fillId="17" borderId="6" pivotButton="0" quotePrefix="0" xfId="0"/>
    <xf numFmtId="45" fontId="27" fillId="19" borderId="6" pivotButton="0" quotePrefix="0" xfId="0"/>
    <xf numFmtId="45" fontId="27" fillId="8" borderId="6" pivotButton="0" quotePrefix="0" xfId="0"/>
    <xf numFmtId="45" fontId="27" fillId="18" borderId="6" pivotButton="0" quotePrefix="0" xfId="0"/>
    <xf numFmtId="46" fontId="27" fillId="12" borderId="6" pivotButton="0" quotePrefix="0" xfId="0"/>
    <xf numFmtId="45" fontId="27" fillId="12" borderId="6" pivotButton="0" quotePrefix="0" xfId="0"/>
    <xf numFmtId="45" fontId="27" fillId="9" borderId="6" pivotButton="0" quotePrefix="0" xfId="0"/>
    <xf numFmtId="45" fontId="4" fillId="0" borderId="0" pivotButton="0" quotePrefix="0" xfId="0"/>
    <xf numFmtId="20" fontId="26" fillId="7" borderId="6" applyAlignment="1" pivotButton="0" quotePrefix="0" xfId="0">
      <alignment horizontal="center"/>
    </xf>
    <xf numFmtId="0" fontId="11" fillId="0" borderId="0" pivotButton="0" quotePrefix="0" xfId="0"/>
    <xf numFmtId="0" fontId="4" fillId="0" borderId="0" pivotButton="0" quotePrefix="0" xfId="0"/>
    <xf numFmtId="0" fontId="24" fillId="0" borderId="11" pivotButton="0" quotePrefix="0" xfId="0"/>
    <xf numFmtId="0" fontId="19" fillId="0" borderId="0" pivotButton="0" quotePrefix="0" xfId="0"/>
    <xf numFmtId="0" fontId="19" fillId="0" borderId="12" pivotButton="0" quotePrefix="0" xfId="0"/>
    <xf numFmtId="0" fontId="9" fillId="13" borderId="23" applyAlignment="1" pivotButton="0" quotePrefix="0" xfId="0">
      <alignment horizontal="left"/>
    </xf>
    <xf numFmtId="0" fontId="4" fillId="13" borderId="1" pivotButton="0" quotePrefix="0" xfId="0"/>
    <xf numFmtId="0" fontId="4" fillId="13" borderId="24" pivotButton="0" quotePrefix="0" xfId="0"/>
    <xf numFmtId="0" fontId="4" fillId="0" borderId="12" pivotButton="0" quotePrefix="0" xfId="0"/>
    <xf numFmtId="0" fontId="6" fillId="13" borderId="1" applyAlignment="1" pivotButton="0" quotePrefix="0" xfId="0">
      <alignment horizontal="left"/>
    </xf>
    <xf numFmtId="0" fontId="6" fillId="13" borderId="24" applyAlignment="1" pivotButton="0" quotePrefix="0" xfId="0">
      <alignment horizontal="left"/>
    </xf>
    <xf numFmtId="0" fontId="24" fillId="0" borderId="17" pivotButton="0" quotePrefix="0" xfId="0"/>
    <xf numFmtId="0" fontId="19" fillId="0" borderId="18" pivotButton="0" quotePrefix="0" xfId="0"/>
    <xf numFmtId="0" fontId="19" fillId="0" borderId="19" pivotButton="0" quotePrefix="0" xfId="0"/>
    <xf numFmtId="0" fontId="29" fillId="0" borderId="0" pivotButton="0" quotePrefix="0" xfId="0"/>
    <xf numFmtId="0" fontId="29" fillId="0" borderId="12" pivotButton="0" quotePrefix="0" xfId="0"/>
    <xf numFmtId="0" fontId="4" fillId="0" borderId="11" pivotButton="0" quotePrefix="0" xfId="0"/>
    <xf numFmtId="0" fontId="8" fillId="13" borderId="23" applyAlignment="1" pivotButton="0" quotePrefix="0" xfId="0">
      <alignment horizontal="left"/>
    </xf>
    <xf numFmtId="0" fontId="24" fillId="0" borderId="0" pivotButton="0" quotePrefix="0" xfId="0"/>
    <xf numFmtId="0" fontId="24" fillId="0" borderId="12" pivotButton="0" quotePrefix="0" xfId="0"/>
    <xf numFmtId="0" fontId="8" fillId="13" borderId="25" applyAlignment="1" pivotButton="0" quotePrefix="0" xfId="0">
      <alignment horizontal="left"/>
    </xf>
    <xf numFmtId="0" fontId="6" fillId="13" borderId="26" applyAlignment="1" pivotButton="0" quotePrefix="0" xfId="0">
      <alignment horizontal="left"/>
    </xf>
    <xf numFmtId="0" fontId="6" fillId="13" borderId="27" applyAlignment="1" pivotButton="0" quotePrefix="0" xfId="0">
      <alignment horizontal="left"/>
    </xf>
    <xf numFmtId="0" fontId="24" fillId="0" borderId="18" pivotButton="0" quotePrefix="0" xfId="0"/>
    <xf numFmtId="0" fontId="24" fillId="0" borderId="19" pivotButton="0" quotePrefix="0" xfId="0"/>
    <xf numFmtId="0" fontId="29" fillId="0" borderId="18" pivotButton="0" quotePrefix="0" xfId="0"/>
    <xf numFmtId="0" fontId="29" fillId="0" borderId="19" pivotButton="0" quotePrefix="0" xfId="0"/>
    <xf numFmtId="0" fontId="30" fillId="0" borderId="0" pivotButton="0" quotePrefix="0" xfId="0"/>
    <xf numFmtId="45" fontId="7" fillId="6" borderId="6" applyAlignment="1" pivotButton="0" quotePrefix="0" xfId="0">
      <alignment horizontal="center" vertical="center" wrapText="1"/>
    </xf>
    <xf numFmtId="45" fontId="5" fillId="7" borderId="6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/>
    </xf>
    <xf numFmtId="0" fontId="23" fillId="0" borderId="0" pivotButton="0" quotePrefix="0" xfId="0"/>
    <xf numFmtId="0" fontId="11" fillId="10" borderId="6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7" fillId="0" borderId="3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6" pivotButton="0" quotePrefix="0" xfId="0"/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20" fontId="16" fillId="5" borderId="30" applyAlignment="1" pivotButton="0" quotePrefix="0" xfId="0">
      <alignment horizontal="center" vertical="center"/>
    </xf>
    <xf numFmtId="0" fontId="0" fillId="0" borderId="31" pivotButton="0" quotePrefix="0" xfId="0"/>
    <xf numFmtId="0" fontId="17" fillId="0" borderId="3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4" pivotButton="0" quotePrefix="0" xfId="0"/>
    <xf numFmtId="0" fontId="17" fillId="0" borderId="32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0" fillId="14" borderId="1" applyAlignment="1" pivotButton="0" quotePrefix="0" xfId="0">
      <alignment horizontal="center" vertical="center"/>
    </xf>
    <xf numFmtId="45" fontId="28" fillId="3" borderId="29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8" pivotButton="0" quotePrefix="0" xfId="0"/>
    <xf numFmtId="45" fontId="28" fillId="9" borderId="29" applyAlignment="1" pivotButton="0" quotePrefix="0" xfId="0">
      <alignment horizontal="center" vertical="center"/>
    </xf>
    <xf numFmtId="0" fontId="28" fillId="7" borderId="29" applyAlignment="1" pivotButton="0" quotePrefix="0" xfId="0">
      <alignment horizontal="center" vertical="center"/>
    </xf>
    <xf numFmtId="45" fontId="15" fillId="2" borderId="29" applyAlignment="1" pivotButton="0" quotePrefix="0" xfId="0">
      <alignment horizontal="center" vertical="center" wrapText="1"/>
    </xf>
    <xf numFmtId="45" fontId="28" fillId="16" borderId="29" applyAlignment="1" pivotButton="0" quotePrefix="0" xfId="0">
      <alignment horizontal="center" vertical="center" wrapText="1"/>
    </xf>
    <xf numFmtId="45" fontId="28" fillId="11" borderId="29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33" fillId="20" borderId="0" pivotButton="0" quotePrefix="0" xfId="0"/>
    <xf numFmtId="0" fontId="4" fillId="21" borderId="1" pivotButton="0" quotePrefix="0" xfId="0"/>
    <xf numFmtId="0" fontId="4" fillId="21" borderId="20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 vertical="center"/>
    </xf>
    <xf numFmtId="20" fontId="16" fillId="5" borderId="31" applyAlignment="1" pivotButton="0" quotePrefix="0" xfId="0">
      <alignment horizontal="center" vertical="center"/>
    </xf>
    <xf numFmtId="164" fontId="5" fillId="0" borderId="6" pivotButton="0" quotePrefix="0" xfId="0"/>
    <xf numFmtId="165" fontId="5" fillId="0" borderId="6" pivotButton="0" quotePrefix="0" xfId="0"/>
    <xf numFmtId="166" fontId="10" fillId="0" borderId="0" applyAlignment="1" pivotButton="0" quotePrefix="0" xfId="0">
      <alignment horizontal="center" vertical="center"/>
    </xf>
    <xf numFmtId="165" fontId="4" fillId="0" borderId="0" pivotButton="0" quotePrefix="0" xfId="0"/>
    <xf numFmtId="165" fontId="5" fillId="11" borderId="6" pivotButton="0" quotePrefix="0" xfId="0"/>
    <xf numFmtId="165" fontId="12" fillId="0" borderId="0" pivotButton="0" quotePrefix="0" xfId="0"/>
    <xf numFmtId="164" fontId="5" fillId="0" borderId="15" pivotButton="0" quotePrefix="0" xfId="0"/>
    <xf numFmtId="165" fontId="5" fillId="11" borderId="15" pivotButton="0" quotePrefix="0" xfId="0"/>
    <xf numFmtId="164" fontId="5" fillId="0" borderId="3" pivotButton="0" quotePrefix="0" xfId="0"/>
    <xf numFmtId="165" fontId="5" fillId="0" borderId="3" pivotButton="0" quotePrefix="0" xfId="0"/>
    <xf numFmtId="165" fontId="12" fillId="0" borderId="18" pivotButton="0" quotePrefix="0" xfId="0"/>
    <xf numFmtId="0" fontId="23" fillId="0" borderId="1" applyAlignment="1" pivotButton="0" quotePrefix="0" xfId="0">
      <alignment horizontal="left" vertical="center"/>
    </xf>
  </cellXfs>
  <cellStyles count="1">
    <cellStyle name="一般" xfId="0" builtinId="0"/>
  </cellStyles>
  <dxfs count="1">
    <dxf>
      <font>
        <name val="Arial"/>
        <b val="1"/>
        <color rgb="FF000000"/>
        <sz val="1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tabSelected="1" workbookViewId="0">
      <selection activeCell="L124" sqref="L124"/>
    </sheetView>
  </sheetViews>
  <sheetFormatPr baseColWidth="8" defaultColWidth="14.42578125" defaultRowHeight="15" customHeight="1"/>
  <cols>
    <col width="5.5703125" customWidth="1" style="125" min="1" max="1"/>
    <col width="9" customWidth="1" style="125" min="2" max="2"/>
    <col width="11.92578125" customWidth="1" style="125" min="3" max="3"/>
    <col width="4.5703125" customWidth="1" style="125" min="4" max="4"/>
    <col width="8.7109375" customWidth="1" style="125" min="5" max="5"/>
    <col width="50.5703125" customWidth="1" style="125" min="6" max="6"/>
    <col width="9" customWidth="1" style="125" min="7" max="7"/>
    <col width="8.7109375" customWidth="1" style="125" min="8" max="11"/>
    <col width="12" customWidth="1" style="125" min="12" max="12"/>
    <col width="10.140625" customWidth="1" style="125" min="13" max="13"/>
    <col width="8.7109375" customWidth="1" style="125" min="14" max="15"/>
    <col width="11" customWidth="1" style="125" min="16" max="16"/>
    <col width="8.7109375" customWidth="1" style="125" min="17" max="26"/>
  </cols>
  <sheetData>
    <row r="1" ht="31.5" customHeight="1" s="125">
      <c r="A1" s="145" t="inlineStr">
        <is>
          <t>2026 目標半馬賽事</t>
        </is>
      </c>
    </row>
    <row r="2" ht="28.5" customHeight="1" s="125">
      <c r="A2" s="126" t="inlineStr">
        <is>
          <t>Race Date</t>
        </is>
      </c>
      <c r="C2" s="150" t="n">
        <v>46355</v>
      </c>
      <c r="F2" s="1" t="inlineStr">
        <is>
          <t>Project Half</t>
        </is>
      </c>
      <c r="G2" s="44" t="inlineStr">
        <is>
          <t>目標時間</t>
        </is>
      </c>
      <c r="H2" s="151">
        <f>配速表!$B$2</f>
        <v/>
      </c>
      <c r="I2" s="128" t="n"/>
      <c r="J2" s="147" t="n"/>
    </row>
    <row r="3" ht="16.5" customHeight="1" s="125">
      <c r="A3" s="2" t="inlineStr">
        <is>
          <t>完成</t>
        </is>
      </c>
      <c r="B3" s="3" t="inlineStr">
        <is>
          <t>周次</t>
        </is>
      </c>
      <c r="C3" s="4" t="inlineStr">
        <is>
          <t>日期</t>
        </is>
      </c>
      <c r="D3" s="4" t="inlineStr">
        <is>
          <t>星期</t>
        </is>
      </c>
      <c r="E3" s="4" t="inlineStr">
        <is>
          <t>課表類型</t>
        </is>
      </c>
      <c r="F3" s="4" t="inlineStr">
        <is>
          <t>課表內容</t>
        </is>
      </c>
      <c r="G3" s="4" t="inlineStr">
        <is>
          <t>公里數</t>
        </is>
      </c>
      <c r="H3" s="4" t="inlineStr">
        <is>
          <t>備註</t>
        </is>
      </c>
      <c r="I3" s="5" t="inlineStr">
        <is>
          <t>單周跑量</t>
        </is>
      </c>
      <c r="J3" s="147" t="n"/>
      <c r="S3" s="6" t="n"/>
    </row>
    <row r="4" ht="16.5" customHeight="1" s="125">
      <c r="A4" s="45" t="n"/>
      <c r="B4" s="133" t="n">
        <v>1</v>
      </c>
      <c r="C4" s="152">
        <f>C5-1</f>
        <v/>
      </c>
      <c r="D4" s="153">
        <f>C4</f>
        <v/>
      </c>
      <c r="E4" s="115" t="inlineStr">
        <is>
          <t>休息日</t>
        </is>
      </c>
      <c r="F4" s="14" t="n"/>
      <c r="G4" s="15" t="n"/>
      <c r="H4" s="46" t="n"/>
      <c r="I4" s="132">
        <f>SUM(G4:G10)</f>
        <v/>
      </c>
      <c r="J4" s="147" t="n"/>
    </row>
    <row r="5" ht="16.5" customHeight="1" s="125">
      <c r="A5" s="45" t="n"/>
      <c r="B5" s="130" t="n"/>
      <c r="C5" s="152">
        <f>C6-1</f>
        <v/>
      </c>
      <c r="D5" s="153">
        <f>C5</f>
        <v/>
      </c>
      <c r="E5" s="115" t="inlineStr">
        <is>
          <t>休息日</t>
        </is>
      </c>
      <c r="F5" s="14" t="n"/>
      <c r="G5" s="15" t="n"/>
      <c r="H5" s="46" t="n"/>
      <c r="I5" s="123" t="n"/>
      <c r="J5" s="147" t="n"/>
      <c r="K5" s="6" t="n"/>
      <c r="L5" s="47" t="inlineStr">
        <is>
          <t>輕鬆有氧</t>
        </is>
      </c>
      <c r="M5" s="48" t="inlineStr">
        <is>
          <t>長跑</t>
        </is>
      </c>
      <c r="N5" s="49" t="inlineStr">
        <is>
          <t>節奏跑</t>
        </is>
      </c>
      <c r="O5" s="50" t="inlineStr">
        <is>
          <t>強化跑</t>
        </is>
      </c>
      <c r="P5" s="51" t="inlineStr">
        <is>
          <t>速度跑</t>
        </is>
      </c>
      <c r="Q5" s="52" t="inlineStr">
        <is>
          <t>休息日</t>
        </is>
      </c>
    </row>
    <row r="6" ht="16.5" customHeight="1" s="125">
      <c r="A6" s="45" t="n"/>
      <c r="B6" s="130" t="n"/>
      <c r="C6" s="152">
        <f>C7-1</f>
        <v/>
      </c>
      <c r="D6" s="153">
        <f>C6</f>
        <v/>
      </c>
      <c r="E6" s="9" t="inlineStr">
        <is>
          <t>休息日</t>
        </is>
      </c>
      <c r="F6" s="37" t="n"/>
      <c r="G6" s="38" t="n"/>
      <c r="H6" s="46" t="n"/>
      <c r="I6" s="123" t="n"/>
      <c r="J6" s="147" t="n"/>
      <c r="K6" s="53" t="inlineStr">
        <is>
          <t>配速</t>
        </is>
      </c>
      <c r="L6" s="16">
        <f>TEXT(INDEX(配速表!$D$5:$D$21,MATCH(配速表!$B$2,配速表!$B$5:$B$21,0)),"m:ss")&amp;"~"&amp;TEXT(INDEX(配速表!$E$5:$E$21,MATCH(配速表!$B$2,配速表!$B$5:$B$21,0)),"m:ss")</f>
        <v/>
      </c>
      <c r="M6" s="154">
        <f>INDEX(配速表!$F$5:$F$21,MATCH(配速表!$B$2,配速表!$B$5:$B$21,0))</f>
        <v/>
      </c>
      <c r="N6" s="154">
        <f>INDEX(配速表!$G$5:$G$21,MATCH(配速表!$B$2,配速表!$B$5:$B$21,0))</f>
        <v/>
      </c>
      <c r="O6" s="154">
        <f>INDEX(配速表!$H$5:$H$21,MATCH(配速表!$B$2,配速表!$B$5:$B$21,0))</f>
        <v/>
      </c>
      <c r="P6" s="16">
        <f>ROUND(INDEX(配速表!$Q$5:$Q$21,MATCH(配速表!$B$2,配速表!$B$5:$B$21,0))*86400,0)&amp;"s/lap"</f>
        <v/>
      </c>
      <c r="Q6" s="16" t="inlineStr">
        <is>
          <t>—</t>
        </is>
      </c>
    </row>
    <row r="7" ht="16.5" customHeight="1" s="125">
      <c r="A7" s="45" t="n"/>
      <c r="B7" s="130" t="n"/>
      <c r="C7" s="152">
        <f>C8-1</f>
        <v/>
      </c>
      <c r="D7" s="153">
        <f>C7</f>
        <v/>
      </c>
      <c r="E7" s="10" t="inlineStr">
        <is>
          <t>輕鬆有氧</t>
        </is>
      </c>
      <c r="F7" s="14" t="inlineStr">
        <is>
          <t>6k Easy</t>
        </is>
      </c>
      <c r="G7" s="15" t="n">
        <v>6</v>
      </c>
      <c r="H7" s="46" t="n"/>
      <c r="I7" s="123" t="n"/>
      <c r="J7" s="147" t="n"/>
      <c r="M7" s="17" t="n"/>
      <c r="N7" s="155" t="n"/>
    </row>
    <row r="8" ht="16.5" customHeight="1" s="125">
      <c r="A8" s="45" t="n"/>
      <c r="B8" s="130" t="n"/>
      <c r="C8" s="152">
        <f>C9-1</f>
        <v/>
      </c>
      <c r="D8" s="153">
        <f>C8</f>
        <v/>
      </c>
      <c r="E8" s="10" t="inlineStr">
        <is>
          <t>輕鬆有氧</t>
        </is>
      </c>
      <c r="F8" s="14" t="inlineStr">
        <is>
          <t>5k Easy</t>
        </is>
      </c>
      <c r="G8" s="15" t="n">
        <v>5</v>
      </c>
      <c r="H8" s="46" t="n"/>
      <c r="I8" s="123" t="n"/>
      <c r="J8" s="147" t="n"/>
      <c r="L8" s="119" t="inlineStr">
        <is>
          <t>注意事項</t>
        </is>
      </c>
      <c r="M8" s="120" t="n"/>
      <c r="N8" s="120" t="n"/>
      <c r="O8" s="120" t="n"/>
      <c r="P8" s="121" t="n"/>
    </row>
    <row r="9" ht="16.5" customHeight="1" s="125">
      <c r="A9" s="45" t="n"/>
      <c r="B9" s="130" t="n"/>
      <c r="C9" s="152">
        <f>C10-1</f>
        <v/>
      </c>
      <c r="D9" s="156">
        <f>C9</f>
        <v/>
      </c>
      <c r="E9" s="10" t="inlineStr">
        <is>
          <t>輕鬆有氧</t>
        </is>
      </c>
      <c r="F9" s="14" t="inlineStr">
        <is>
          <t>6k Easy</t>
        </is>
      </c>
      <c r="G9" s="15" t="n">
        <v>6</v>
      </c>
      <c r="H9" s="46" t="n"/>
      <c r="I9" s="123" t="n"/>
      <c r="J9" s="147" t="n"/>
      <c r="L9" s="55" t="inlineStr">
        <is>
          <t>● 修改Race Date可以同步調整每個課表的日期</t>
        </is>
      </c>
      <c r="M9" s="20" t="n"/>
      <c r="N9" s="157" t="n"/>
      <c r="O9" s="22" t="n"/>
      <c r="P9" s="23" t="n"/>
    </row>
    <row r="10" ht="16.5" customHeight="1" s="125">
      <c r="A10" s="56" t="n"/>
      <c r="B10" s="131" t="n"/>
      <c r="C10" s="158">
        <f>C11-1</f>
        <v/>
      </c>
      <c r="D10" s="159">
        <f>C10</f>
        <v/>
      </c>
      <c r="E10" s="26" t="inlineStr">
        <is>
          <t>輕鬆有氧</t>
        </is>
      </c>
      <c r="F10" s="27" t="inlineStr">
        <is>
          <t>10k Easy</t>
        </is>
      </c>
      <c r="G10" s="28" t="n">
        <v>10</v>
      </c>
      <c r="H10" s="57" t="n"/>
      <c r="I10" s="124" t="n"/>
      <c r="J10" s="147" t="n"/>
      <c r="L10" s="55" t="inlineStr">
        <is>
          <t>● 參照訓練配速表可以知道各個課表的速度</t>
        </is>
      </c>
      <c r="M10" s="20" t="n"/>
      <c r="N10" s="157" t="n"/>
      <c r="O10" s="22" t="n"/>
      <c r="P10" s="23" t="n"/>
    </row>
    <row r="11" ht="16.5" customHeight="1" s="125">
      <c r="A11" s="58" t="n"/>
      <c r="B11" s="129">
        <f>B4+1</f>
        <v/>
      </c>
      <c r="C11" s="160">
        <f>C12-1</f>
        <v/>
      </c>
      <c r="D11" s="161">
        <f>C11</f>
        <v/>
      </c>
      <c r="E11" s="31" t="inlineStr">
        <is>
          <t>輕鬆有氧</t>
        </is>
      </c>
      <c r="F11" s="39" t="inlineStr">
        <is>
          <t>6k Easy</t>
        </is>
      </c>
      <c r="G11" s="32" t="n">
        <v>6</v>
      </c>
      <c r="H11" s="59" t="n"/>
      <c r="I11" s="122">
        <f>SUM(G11:G17)</f>
        <v/>
      </c>
      <c r="J11" s="147" t="n"/>
      <c r="L11" s="60" t="inlineStr">
        <is>
          <t>● 如果跑量無法這麼高，可以等比例降低每個課表的長度</t>
        </is>
      </c>
      <c r="M11" s="33" t="n"/>
      <c r="N11" s="162" t="n"/>
      <c r="O11" s="35" t="n"/>
      <c r="P11" s="36" t="n"/>
    </row>
    <row r="12" ht="16.5" customHeight="1" s="125">
      <c r="A12" s="45" t="n"/>
      <c r="B12" s="130" t="n"/>
      <c r="C12" s="152">
        <f>C13-1</f>
        <v/>
      </c>
      <c r="D12" s="153">
        <f>C12</f>
        <v/>
      </c>
      <c r="E12" s="13" t="inlineStr">
        <is>
          <t>速度跑</t>
        </is>
      </c>
      <c r="F12" s="14" t="inlineStr">
        <is>
          <t>2k WU+12x(400m@5-10k pace+400m jog rest)+2k CD</t>
        </is>
      </c>
      <c r="G12" s="15" t="n">
        <v>13.6</v>
      </c>
      <c r="H12" s="61" t="n"/>
      <c r="I12" s="123" t="n"/>
      <c r="J12" s="147" t="n"/>
      <c r="L12" s="90" t="inlineStr">
        <is>
          <t>● 公里數計法：暖身+主課表+收操（不含組間恢復跑）</t>
        </is>
      </c>
      <c r="M12" s="17" t="n"/>
      <c r="N12" s="155" t="n"/>
    </row>
    <row r="13" ht="16.5" customHeight="1" s="125">
      <c r="A13" s="45" t="n"/>
      <c r="B13" s="130" t="n"/>
      <c r="C13" s="152">
        <f>C14-1</f>
        <v/>
      </c>
      <c r="D13" s="153">
        <f>C13</f>
        <v/>
      </c>
      <c r="E13" s="9" t="inlineStr">
        <is>
          <t>休息日</t>
        </is>
      </c>
      <c r="F13" s="37" t="n"/>
      <c r="G13" s="38" t="n"/>
      <c r="H13" s="46" t="n"/>
      <c r="I13" s="123" t="n"/>
      <c r="J13" s="147" t="n"/>
      <c r="M13" s="17" t="n"/>
      <c r="N13" s="155" t="n"/>
    </row>
    <row r="14" ht="16.5" customHeight="1" s="125">
      <c r="A14" s="45" t="n"/>
      <c r="B14" s="130" t="n"/>
      <c r="C14" s="152">
        <f>C15-1</f>
        <v/>
      </c>
      <c r="D14" s="153">
        <f>C14</f>
        <v/>
      </c>
      <c r="E14" s="116" t="inlineStr">
        <is>
          <t>節奏跑</t>
        </is>
      </c>
      <c r="F14" s="14" t="inlineStr">
        <is>
          <t>2k WU+5k Tempo@HMP+2k CD</t>
        </is>
      </c>
      <c r="G14" s="15" t="n">
        <v>9</v>
      </c>
      <c r="H14" s="46" t="n"/>
      <c r="I14" s="123" t="n"/>
      <c r="J14" s="147" t="n"/>
      <c r="M14" s="17" t="n"/>
      <c r="N14" s="155" t="n"/>
    </row>
    <row r="15" ht="16.5" customHeight="1" s="125">
      <c r="A15" s="45" t="n"/>
      <c r="B15" s="130" t="n"/>
      <c r="C15" s="152">
        <f>C16-1</f>
        <v/>
      </c>
      <c r="D15" s="153">
        <f>C15</f>
        <v/>
      </c>
      <c r="E15" s="10" t="inlineStr">
        <is>
          <t>輕鬆有氧</t>
        </is>
      </c>
      <c r="F15" s="14" t="inlineStr">
        <is>
          <t>6k Easy</t>
        </is>
      </c>
      <c r="G15" s="15" t="n">
        <v>6</v>
      </c>
      <c r="H15" s="46" t="n"/>
      <c r="I15" s="123" t="n"/>
      <c r="J15" s="147" t="n"/>
      <c r="M15" s="17" t="n"/>
      <c r="N15" s="155" t="n"/>
    </row>
    <row r="16" ht="16.5" customHeight="1" s="125">
      <c r="A16" s="45" t="n"/>
      <c r="B16" s="130" t="n"/>
      <c r="C16" s="152">
        <f>C17-1</f>
        <v/>
      </c>
      <c r="D16" s="156">
        <f>C16</f>
        <v/>
      </c>
      <c r="E16" s="10" t="inlineStr">
        <is>
          <t>輕鬆有氧</t>
        </is>
      </c>
      <c r="F16" s="14" t="inlineStr">
        <is>
          <t>6k Easy</t>
        </is>
      </c>
      <c r="G16" s="15" t="n">
        <v>6</v>
      </c>
      <c r="H16" s="46" t="n"/>
      <c r="I16" s="123" t="n"/>
      <c r="J16" s="147" t="n"/>
      <c r="M16" s="17" t="n"/>
      <c r="N16" s="155" t="n"/>
    </row>
    <row r="17" ht="16.5" customHeight="1" s="125">
      <c r="A17" s="56" t="n"/>
      <c r="B17" s="131" t="n"/>
      <c r="C17" s="158">
        <f>C18-1</f>
        <v/>
      </c>
      <c r="D17" s="159">
        <f>C17</f>
        <v/>
      </c>
      <c r="E17" s="26" t="inlineStr">
        <is>
          <t>輕鬆有氧</t>
        </is>
      </c>
      <c r="F17" s="27" t="inlineStr">
        <is>
          <t>10k Easy</t>
        </is>
      </c>
      <c r="G17" s="28" t="n">
        <v>10</v>
      </c>
      <c r="H17" s="57" t="n"/>
      <c r="I17" s="124" t="n"/>
      <c r="J17" s="147" t="n"/>
      <c r="M17" s="17" t="n"/>
      <c r="N17" s="155" t="n"/>
    </row>
    <row r="18" ht="16.5" customHeight="1" s="125">
      <c r="A18" s="58" t="n"/>
      <c r="B18" s="129">
        <f>B11+1</f>
        <v/>
      </c>
      <c r="C18" s="160">
        <f>C19-1</f>
        <v/>
      </c>
      <c r="D18" s="161">
        <f>C18</f>
        <v/>
      </c>
      <c r="E18" s="31" t="inlineStr">
        <is>
          <t>輕鬆有氧</t>
        </is>
      </c>
      <c r="F18" s="39" t="inlineStr">
        <is>
          <t>6k Easy</t>
        </is>
      </c>
      <c r="G18" s="32" t="n">
        <v>6</v>
      </c>
      <c r="H18" s="59" t="n"/>
      <c r="I18" s="122">
        <f>SUM(G18:G24)</f>
        <v/>
      </c>
      <c r="J18" s="147" t="n"/>
      <c r="M18" s="17" t="n"/>
      <c r="N18" s="155" t="n"/>
    </row>
    <row r="19" ht="16.5" customHeight="1" s="125">
      <c r="A19" s="45" t="n"/>
      <c r="B19" s="130" t="n"/>
      <c r="C19" s="152">
        <f>C20-1</f>
        <v/>
      </c>
      <c r="D19" s="153">
        <f>C19</f>
        <v/>
      </c>
      <c r="E19" s="13" t="inlineStr">
        <is>
          <t>速度跑</t>
        </is>
      </c>
      <c r="F19" s="14" t="inlineStr">
        <is>
          <t>2k WU+8x(600m@5-10k pace+400m jog rest)+2k CD</t>
        </is>
      </c>
      <c r="G19" s="15" t="n">
        <v>12</v>
      </c>
      <c r="H19" s="61" t="n"/>
      <c r="I19" s="123" t="n"/>
      <c r="J19" s="147" t="n"/>
      <c r="M19" s="17" t="n"/>
      <c r="N19" s="155" t="n"/>
    </row>
    <row r="20" ht="16.5" customHeight="1" s="125">
      <c r="A20" s="45" t="n"/>
      <c r="B20" s="130" t="n"/>
      <c r="C20" s="152">
        <f>C21-1</f>
        <v/>
      </c>
      <c r="D20" s="153">
        <f>C20</f>
        <v/>
      </c>
      <c r="E20" s="9" t="inlineStr">
        <is>
          <t>休息日</t>
        </is>
      </c>
      <c r="F20" s="37" t="n"/>
      <c r="G20" s="38" t="n"/>
      <c r="H20" s="46" t="n"/>
      <c r="I20" s="123" t="n"/>
      <c r="J20" s="147" t="n"/>
      <c r="M20" s="17" t="n"/>
      <c r="N20" s="155" t="n"/>
    </row>
    <row r="21" ht="16.5" customHeight="1" s="125">
      <c r="A21" s="45" t="n"/>
      <c r="B21" s="130" t="n"/>
      <c r="C21" s="152">
        <f>C22-1</f>
        <v/>
      </c>
      <c r="D21" s="153">
        <f>C21</f>
        <v/>
      </c>
      <c r="E21" s="11" t="inlineStr">
        <is>
          <t>節奏跑</t>
        </is>
      </c>
      <c r="F21" s="14" t="inlineStr">
        <is>
          <t>2k WU+5k Tempo@HMP+2k CD</t>
        </is>
      </c>
      <c r="G21" s="15" t="n">
        <v>9</v>
      </c>
      <c r="H21" s="61" t="n"/>
      <c r="I21" s="123" t="n"/>
      <c r="J21" s="147" t="n"/>
      <c r="M21" s="17" t="n"/>
      <c r="N21" s="155" t="n"/>
    </row>
    <row r="22" ht="16.5" customHeight="1" s="125">
      <c r="A22" s="45" t="n"/>
      <c r="B22" s="130" t="n"/>
      <c r="C22" s="152">
        <f>C23-1</f>
        <v/>
      </c>
      <c r="D22" s="153">
        <f>C22</f>
        <v/>
      </c>
      <c r="E22" s="10" t="inlineStr">
        <is>
          <t>輕鬆有氧</t>
        </is>
      </c>
      <c r="F22" s="14" t="inlineStr">
        <is>
          <t>8k Easy</t>
        </is>
      </c>
      <c r="G22" s="15" t="n">
        <v>8</v>
      </c>
      <c r="H22" s="46" t="n"/>
      <c r="I22" s="123" t="n"/>
      <c r="J22" s="147" t="n"/>
      <c r="M22" s="17" t="n"/>
      <c r="N22" s="155" t="n"/>
    </row>
    <row r="23" ht="16.5" customHeight="1" s="125">
      <c r="A23" s="45" t="n"/>
      <c r="B23" s="130" t="n"/>
      <c r="C23" s="152">
        <f>C24-1</f>
        <v/>
      </c>
      <c r="D23" s="156">
        <f>C23</f>
        <v/>
      </c>
      <c r="E23" s="10" t="inlineStr">
        <is>
          <t>輕鬆有氧</t>
        </is>
      </c>
      <c r="F23" s="14" t="inlineStr">
        <is>
          <t>8k Easy</t>
        </is>
      </c>
      <c r="G23" s="15" t="n">
        <v>8</v>
      </c>
      <c r="H23" s="46" t="n"/>
      <c r="I23" s="123" t="n"/>
      <c r="J23" s="147" t="n"/>
      <c r="M23" s="17" t="n"/>
      <c r="N23" s="155" t="n"/>
    </row>
    <row r="24" ht="16.5" customHeight="1" s="125">
      <c r="A24" s="56" t="n"/>
      <c r="B24" s="131" t="n"/>
      <c r="C24" s="158">
        <f>C25-1</f>
        <v/>
      </c>
      <c r="D24" s="159">
        <f>C24</f>
        <v/>
      </c>
      <c r="E24" s="26" t="inlineStr">
        <is>
          <t>輕鬆有氧</t>
        </is>
      </c>
      <c r="F24" s="27" t="inlineStr">
        <is>
          <t>11k Easy</t>
        </is>
      </c>
      <c r="G24" s="28" t="n">
        <v>11</v>
      </c>
      <c r="H24" s="57" t="n"/>
      <c r="I24" s="124" t="n"/>
      <c r="J24" s="147" t="n"/>
      <c r="M24" s="17" t="n"/>
      <c r="N24" s="155" t="n"/>
    </row>
    <row r="25" ht="16.5" customHeight="1" s="125">
      <c r="A25" s="58" t="n"/>
      <c r="B25" s="129">
        <f>B18+1</f>
        <v/>
      </c>
      <c r="C25" s="160">
        <f>C26-1</f>
        <v/>
      </c>
      <c r="D25" s="161">
        <f>C25</f>
        <v/>
      </c>
      <c r="E25" s="31" t="inlineStr">
        <is>
          <t>輕鬆有氧</t>
        </is>
      </c>
      <c r="F25" s="39" t="inlineStr">
        <is>
          <t>8k Easy</t>
        </is>
      </c>
      <c r="G25" s="32" t="n">
        <v>8</v>
      </c>
      <c r="H25" s="59" t="n"/>
      <c r="I25" s="122">
        <f>SUM(G25:G31)</f>
        <v/>
      </c>
      <c r="J25" s="147" t="n"/>
      <c r="M25" s="17" t="n"/>
      <c r="N25" s="155" t="n"/>
    </row>
    <row r="26" ht="16.5" customHeight="1" s="125">
      <c r="A26" s="45" t="n"/>
      <c r="B26" s="130" t="n"/>
      <c r="C26" s="152">
        <f>C27-1</f>
        <v/>
      </c>
      <c r="D26" s="153">
        <f>C26</f>
        <v/>
      </c>
      <c r="E26" s="13" t="inlineStr">
        <is>
          <t>速度跑</t>
        </is>
      </c>
      <c r="F26" s="14" t="inlineStr">
        <is>
          <t>2k WU+6x(800m@5-10k pace+400m jog rest)+2k CD</t>
        </is>
      </c>
      <c r="G26" s="15" t="n">
        <v>11.2</v>
      </c>
      <c r="H26" s="61" t="n"/>
      <c r="I26" s="123" t="n"/>
      <c r="J26" s="147" t="n"/>
      <c r="M26" s="17" t="n"/>
      <c r="N26" s="155" t="n"/>
    </row>
    <row r="27" ht="16.5" customHeight="1" s="125">
      <c r="A27" s="45" t="n"/>
      <c r="B27" s="130" t="n"/>
      <c r="C27" s="152">
        <f>C28-1</f>
        <v/>
      </c>
      <c r="D27" s="153">
        <f>C27</f>
        <v/>
      </c>
      <c r="E27" s="9" t="inlineStr">
        <is>
          <t>休息日</t>
        </is>
      </c>
      <c r="F27" s="37" t="n"/>
      <c r="G27" s="38" t="n"/>
      <c r="H27" s="46" t="n"/>
      <c r="I27" s="123" t="n"/>
      <c r="J27" s="147" t="n"/>
      <c r="M27" s="17" t="n"/>
      <c r="N27" s="155" t="n"/>
    </row>
    <row r="28" ht="16.5" customHeight="1" s="125">
      <c r="A28" s="45" t="n"/>
      <c r="B28" s="130" t="n"/>
      <c r="C28" s="152">
        <f>C29-1</f>
        <v/>
      </c>
      <c r="D28" s="153">
        <f>C28</f>
        <v/>
      </c>
      <c r="E28" s="11" t="inlineStr">
        <is>
          <t>節奏跑</t>
        </is>
      </c>
      <c r="F28" s="14" t="inlineStr">
        <is>
          <t>2k WU+5k Tempo@HMP+2k CD</t>
        </is>
      </c>
      <c r="G28" s="15" t="n">
        <v>9</v>
      </c>
      <c r="H28" s="61" t="n"/>
      <c r="I28" s="123" t="n"/>
      <c r="J28" s="147" t="n"/>
      <c r="M28" s="17" t="n"/>
      <c r="N28" s="155" t="n"/>
    </row>
    <row r="29" ht="16.5" customHeight="1" s="125">
      <c r="A29" s="45" t="n"/>
      <c r="B29" s="130" t="n"/>
      <c r="C29" s="152">
        <f>C30-1</f>
        <v/>
      </c>
      <c r="D29" s="153">
        <f>C29</f>
        <v/>
      </c>
      <c r="E29" s="10" t="inlineStr">
        <is>
          <t>輕鬆有氧</t>
        </is>
      </c>
      <c r="F29" s="14" t="inlineStr">
        <is>
          <t>6k Easy</t>
        </is>
      </c>
      <c r="G29" s="15" t="n">
        <v>6</v>
      </c>
      <c r="H29" s="46" t="n"/>
      <c r="I29" s="123" t="n"/>
      <c r="J29" s="147" t="n"/>
      <c r="M29" s="17" t="n"/>
      <c r="N29" s="155" t="n"/>
    </row>
    <row r="30" ht="16.5" customHeight="1" s="125">
      <c r="A30" s="45" t="n"/>
      <c r="B30" s="130" t="n"/>
      <c r="C30" s="152">
        <f>C31-1</f>
        <v/>
      </c>
      <c r="D30" s="156">
        <f>C30</f>
        <v/>
      </c>
      <c r="E30" s="10" t="inlineStr">
        <is>
          <t>輕鬆有氧</t>
        </is>
      </c>
      <c r="F30" s="14" t="inlineStr">
        <is>
          <t>10k Easy</t>
        </is>
      </c>
      <c r="G30" s="15" t="n">
        <v>10</v>
      </c>
      <c r="H30" s="46" t="n"/>
      <c r="I30" s="123" t="n"/>
      <c r="J30" s="147" t="n"/>
      <c r="M30" s="17" t="n"/>
      <c r="N30" s="155" t="n"/>
    </row>
    <row r="31" ht="16.5" customHeight="1" s="125">
      <c r="A31" s="56" t="n"/>
      <c r="B31" s="131" t="n"/>
      <c r="C31" s="158">
        <f>C32-1</f>
        <v/>
      </c>
      <c r="D31" s="159">
        <f>C31</f>
        <v/>
      </c>
      <c r="E31" s="26" t="inlineStr">
        <is>
          <t>輕鬆有氧</t>
        </is>
      </c>
      <c r="F31" s="27" t="inlineStr">
        <is>
          <t>13k Easy</t>
        </is>
      </c>
      <c r="G31" s="28" t="n">
        <v>13</v>
      </c>
      <c r="H31" s="57" t="n"/>
      <c r="I31" s="124" t="n"/>
      <c r="J31" s="147" t="n"/>
      <c r="M31" s="17" t="n"/>
      <c r="N31" s="155" t="n"/>
    </row>
    <row r="32" ht="16.5" customHeight="1" s="125">
      <c r="A32" s="58" t="n"/>
      <c r="B32" s="129">
        <f>B25+1</f>
        <v/>
      </c>
      <c r="C32" s="160">
        <f>C33-1</f>
        <v/>
      </c>
      <c r="D32" s="161">
        <f>C32</f>
        <v/>
      </c>
      <c r="E32" s="31" t="inlineStr">
        <is>
          <t>輕鬆有氧</t>
        </is>
      </c>
      <c r="F32" s="39" t="inlineStr">
        <is>
          <t>6k Easy</t>
        </is>
      </c>
      <c r="G32" s="32" t="n">
        <v>6</v>
      </c>
      <c r="H32" s="59" t="n"/>
      <c r="I32" s="122">
        <f>SUM(G32:G38)</f>
        <v/>
      </c>
      <c r="J32" s="147" t="n"/>
      <c r="M32" s="17" t="n"/>
      <c r="N32" s="155" t="n"/>
    </row>
    <row r="33" ht="16.5" customHeight="1" s="125">
      <c r="A33" s="45" t="n"/>
      <c r="B33" s="130" t="n"/>
      <c r="C33" s="152">
        <f>C34-1</f>
        <v/>
      </c>
      <c r="D33" s="153">
        <f>C33</f>
        <v/>
      </c>
      <c r="E33" s="13" t="inlineStr">
        <is>
          <t>速度跑</t>
        </is>
      </c>
      <c r="F33" s="14" t="inlineStr">
        <is>
          <t>2k WU+5x(1000m@5-10k pace+600m jog rest)+2k CD</t>
        </is>
      </c>
      <c r="G33" s="15" t="n">
        <v>12</v>
      </c>
      <c r="H33" s="61" t="n"/>
      <c r="I33" s="123" t="n"/>
      <c r="J33" s="147" t="n"/>
      <c r="M33" s="17" t="n"/>
      <c r="N33" s="155" t="n"/>
    </row>
    <row r="34" ht="16.5" customHeight="1" s="125">
      <c r="A34" s="45" t="n"/>
      <c r="B34" s="130" t="n"/>
      <c r="C34" s="152">
        <f>C35-1</f>
        <v/>
      </c>
      <c r="D34" s="153">
        <f>C34</f>
        <v/>
      </c>
      <c r="E34" s="9" t="inlineStr">
        <is>
          <t>休息日</t>
        </is>
      </c>
      <c r="F34" s="37" t="n"/>
      <c r="G34" s="38" t="n"/>
      <c r="H34" s="46" t="n"/>
      <c r="I34" s="123" t="n"/>
      <c r="J34" s="147" t="n"/>
      <c r="M34" s="17" t="n"/>
      <c r="N34" s="155" t="n"/>
    </row>
    <row r="35" ht="16.5" customHeight="1" s="125">
      <c r="A35" s="45" t="n"/>
      <c r="B35" s="130" t="n"/>
      <c r="C35" s="152">
        <f>C36-1</f>
        <v/>
      </c>
      <c r="D35" s="153">
        <f>C35</f>
        <v/>
      </c>
      <c r="E35" s="11" t="inlineStr">
        <is>
          <t>節奏跑</t>
        </is>
      </c>
      <c r="F35" s="14" t="inlineStr">
        <is>
          <t>2k WU+6k Tempo@HMP+2k CD</t>
        </is>
      </c>
      <c r="G35" s="15" t="n">
        <v>10</v>
      </c>
      <c r="H35" s="61" t="n"/>
      <c r="I35" s="123" t="n"/>
      <c r="J35" s="147" t="n"/>
      <c r="M35" s="17" t="n"/>
      <c r="N35" s="155" t="n"/>
    </row>
    <row r="36" ht="16.5" customHeight="1" s="125">
      <c r="A36" s="45" t="n"/>
      <c r="B36" s="130" t="n"/>
      <c r="C36" s="152">
        <f>C37-1</f>
        <v/>
      </c>
      <c r="D36" s="153">
        <f>C36</f>
        <v/>
      </c>
      <c r="E36" s="10" t="inlineStr">
        <is>
          <t>輕鬆有氧</t>
        </is>
      </c>
      <c r="F36" s="14" t="inlineStr">
        <is>
          <t>8k Easy</t>
        </is>
      </c>
      <c r="G36" s="15" t="n">
        <v>8</v>
      </c>
      <c r="H36" s="46" t="n"/>
      <c r="I36" s="123" t="n"/>
      <c r="J36" s="147" t="n"/>
      <c r="M36" s="17" t="n"/>
      <c r="N36" s="155" t="n"/>
    </row>
    <row r="37" ht="16.5" customHeight="1" s="125">
      <c r="A37" s="45" t="n"/>
      <c r="B37" s="130" t="n"/>
      <c r="C37" s="152">
        <f>C38-1</f>
        <v/>
      </c>
      <c r="D37" s="156">
        <f>C37</f>
        <v/>
      </c>
      <c r="E37" s="10" t="inlineStr">
        <is>
          <t>輕鬆有氧</t>
        </is>
      </c>
      <c r="F37" s="14" t="inlineStr">
        <is>
          <t>10k Easy</t>
        </is>
      </c>
      <c r="G37" s="15" t="n">
        <v>10</v>
      </c>
      <c r="H37" s="46" t="n"/>
      <c r="I37" s="123" t="n"/>
      <c r="J37" s="147" t="n"/>
      <c r="M37" s="17" t="n"/>
      <c r="N37" s="155" t="n"/>
    </row>
    <row r="38" ht="16.5" customHeight="1" s="125">
      <c r="A38" s="56" t="n"/>
      <c r="B38" s="131" t="n"/>
      <c r="C38" s="158">
        <f>C39-1</f>
        <v/>
      </c>
      <c r="D38" s="159">
        <f>C38</f>
        <v/>
      </c>
      <c r="E38" s="40" t="inlineStr">
        <is>
          <t>長跑</t>
        </is>
      </c>
      <c r="F38" s="27" t="inlineStr">
        <is>
          <t>16k Long run</t>
        </is>
      </c>
      <c r="G38" s="28" t="n">
        <v>16</v>
      </c>
      <c r="H38" s="57" t="n"/>
      <c r="I38" s="124" t="n"/>
      <c r="J38" s="147" t="n"/>
      <c r="M38" s="17" t="n"/>
      <c r="N38" s="155" t="n"/>
    </row>
    <row r="39" ht="16.5" customHeight="1" s="125">
      <c r="A39" s="58" t="n"/>
      <c r="B39" s="129">
        <f>B32+1</f>
        <v/>
      </c>
      <c r="C39" s="160">
        <f>C40-1</f>
        <v/>
      </c>
      <c r="D39" s="161">
        <f>C39</f>
        <v/>
      </c>
      <c r="E39" s="31" t="inlineStr">
        <is>
          <t>輕鬆有氧</t>
        </is>
      </c>
      <c r="F39" s="39" t="inlineStr">
        <is>
          <t>8k Easy</t>
        </is>
      </c>
      <c r="G39" s="32" t="n">
        <v>8</v>
      </c>
      <c r="H39" s="59" t="n"/>
      <c r="I39" s="122">
        <f>SUM(G39:G45)</f>
        <v/>
      </c>
      <c r="J39" s="147" t="n"/>
      <c r="M39" s="17" t="n"/>
      <c r="N39" s="155" t="n"/>
    </row>
    <row r="40" ht="16.5" customHeight="1" s="125">
      <c r="A40" s="45" t="n"/>
      <c r="B40" s="130" t="n"/>
      <c r="C40" s="152">
        <f>C41-1</f>
        <v/>
      </c>
      <c r="D40" s="153">
        <f>C40</f>
        <v/>
      </c>
      <c r="E40" s="13" t="inlineStr">
        <is>
          <t>速度跑</t>
        </is>
      </c>
      <c r="F40" s="14" t="inlineStr">
        <is>
          <t>2k WU+4x(1200m@5-10k pace+600m jog rest)+2k CD</t>
        </is>
      </c>
      <c r="G40" s="15" t="n">
        <v>11.2</v>
      </c>
      <c r="H40" s="61" t="n"/>
      <c r="I40" s="123" t="n"/>
      <c r="J40" s="147" t="n"/>
      <c r="M40" s="17" t="n"/>
      <c r="N40" s="155" t="n"/>
    </row>
    <row r="41" ht="16.5" customHeight="1" s="125">
      <c r="A41" s="45" t="n"/>
      <c r="B41" s="130" t="n"/>
      <c r="C41" s="152">
        <f>C42-1</f>
        <v/>
      </c>
      <c r="D41" s="153">
        <f>C41</f>
        <v/>
      </c>
      <c r="E41" s="9" t="inlineStr">
        <is>
          <t>休息日</t>
        </is>
      </c>
      <c r="F41" s="37" t="n"/>
      <c r="G41" s="38" t="n"/>
      <c r="H41" s="46" t="n"/>
      <c r="I41" s="123" t="n"/>
      <c r="J41" s="147" t="n"/>
      <c r="M41" s="17" t="n"/>
      <c r="N41" s="155" t="n"/>
    </row>
    <row r="42" ht="16.5" customHeight="1" s="125">
      <c r="A42" s="45" t="n"/>
      <c r="B42" s="130" t="n"/>
      <c r="C42" s="152">
        <f>C43-1</f>
        <v/>
      </c>
      <c r="D42" s="153">
        <f>C42</f>
        <v/>
      </c>
      <c r="E42" s="11" t="inlineStr">
        <is>
          <t>節奏跑</t>
        </is>
      </c>
      <c r="F42" s="14" t="inlineStr">
        <is>
          <t>2k WU+6k Tempo@HMP+2k CD</t>
        </is>
      </c>
      <c r="G42" s="15" t="n">
        <v>10</v>
      </c>
      <c r="H42" s="61" t="n"/>
      <c r="I42" s="123" t="n"/>
      <c r="J42" s="147" t="n"/>
      <c r="M42" s="17" t="n"/>
      <c r="N42" s="155" t="n"/>
    </row>
    <row r="43" ht="16.5" customHeight="1" s="125">
      <c r="A43" s="45" t="n"/>
      <c r="B43" s="130" t="n"/>
      <c r="C43" s="152">
        <f>C44-1</f>
        <v/>
      </c>
      <c r="D43" s="153">
        <f>C43</f>
        <v/>
      </c>
      <c r="E43" s="10" t="inlineStr">
        <is>
          <t>輕鬆有氧</t>
        </is>
      </c>
      <c r="F43" s="14" t="inlineStr">
        <is>
          <t>10k Easy</t>
        </is>
      </c>
      <c r="G43" s="15" t="n">
        <v>10</v>
      </c>
      <c r="H43" s="46" t="n"/>
      <c r="I43" s="123" t="n"/>
      <c r="J43" s="147" t="n"/>
      <c r="M43" s="17" t="n"/>
      <c r="N43" s="155" t="n"/>
    </row>
    <row r="44" ht="16.5" customHeight="1" s="125">
      <c r="A44" s="45" t="n"/>
      <c r="B44" s="130" t="n"/>
      <c r="C44" s="152">
        <f>C45-1</f>
        <v/>
      </c>
      <c r="D44" s="156">
        <f>C44</f>
        <v/>
      </c>
      <c r="E44" s="10" t="inlineStr">
        <is>
          <t>輕鬆有氧</t>
        </is>
      </c>
      <c r="F44" s="14" t="inlineStr">
        <is>
          <t>10k Easy</t>
        </is>
      </c>
      <c r="G44" s="15" t="n">
        <v>10</v>
      </c>
      <c r="H44" s="46" t="n"/>
      <c r="I44" s="123" t="n"/>
      <c r="J44" s="147" t="n"/>
      <c r="M44" s="17" t="n"/>
      <c r="N44" s="155" t="n"/>
    </row>
    <row r="45" ht="16.5" customHeight="1" s="125">
      <c r="A45" s="56" t="n"/>
      <c r="B45" s="131" t="n"/>
      <c r="C45" s="158">
        <f>C46-1</f>
        <v/>
      </c>
      <c r="D45" s="159">
        <f>C45</f>
        <v/>
      </c>
      <c r="E45" s="40" t="inlineStr">
        <is>
          <t>長跑</t>
        </is>
      </c>
      <c r="F45" s="27" t="inlineStr">
        <is>
          <t>19k Long run</t>
        </is>
      </c>
      <c r="G45" s="28" t="n">
        <v>19</v>
      </c>
      <c r="H45" s="57" t="n"/>
      <c r="I45" s="124" t="n"/>
      <c r="J45" s="147" t="n"/>
      <c r="M45" s="17" t="n"/>
      <c r="N45" s="155" t="n"/>
    </row>
    <row r="46" ht="16.5" customHeight="1" s="125">
      <c r="A46" s="58" t="n"/>
      <c r="B46" s="129">
        <f>B39+1</f>
        <v/>
      </c>
      <c r="C46" s="160">
        <f>C47-1</f>
        <v/>
      </c>
      <c r="D46" s="161">
        <f>C46</f>
        <v/>
      </c>
      <c r="E46" s="31" t="inlineStr">
        <is>
          <t>輕鬆有氧</t>
        </is>
      </c>
      <c r="F46" s="39" t="inlineStr">
        <is>
          <t>8k Easy</t>
        </is>
      </c>
      <c r="G46" s="32" t="n">
        <v>8</v>
      </c>
      <c r="H46" s="59" t="n"/>
      <c r="I46" s="122">
        <f>SUM(G46:G52)</f>
        <v/>
      </c>
      <c r="J46" s="147" t="n"/>
      <c r="M46" s="17" t="n"/>
      <c r="N46" s="155" t="n"/>
    </row>
    <row r="47" ht="16.5" customHeight="1" s="125">
      <c r="A47" s="45" t="n"/>
      <c r="B47" s="130" t="n"/>
      <c r="C47" s="152">
        <f>C48-1</f>
        <v/>
      </c>
      <c r="D47" s="153">
        <f>C47</f>
        <v/>
      </c>
      <c r="E47" s="13" t="inlineStr">
        <is>
          <t>速度跑</t>
        </is>
      </c>
      <c r="F47" s="14" t="inlineStr">
        <is>
          <t>2k WU+3x(2000m@5-10k pace+800m jog rest)+2k CD</t>
        </is>
      </c>
      <c r="G47" s="15" t="n">
        <v>12.4</v>
      </c>
      <c r="H47" s="61" t="n"/>
      <c r="I47" s="123" t="n"/>
      <c r="J47" s="147" t="n"/>
      <c r="M47" s="17" t="n"/>
      <c r="N47" s="155" t="n"/>
    </row>
    <row r="48" ht="16.5" customHeight="1" s="125">
      <c r="A48" s="45" t="n"/>
      <c r="B48" s="130" t="n"/>
      <c r="C48" s="152">
        <f>C49-1</f>
        <v/>
      </c>
      <c r="D48" s="153">
        <f>C48</f>
        <v/>
      </c>
      <c r="E48" s="9" t="inlineStr">
        <is>
          <t>休息日</t>
        </is>
      </c>
      <c r="F48" s="37" t="n"/>
      <c r="G48" s="38" t="n"/>
      <c r="H48" s="46" t="n"/>
      <c r="I48" s="123" t="n"/>
      <c r="J48" s="147" t="n"/>
      <c r="M48" s="17" t="n"/>
      <c r="N48" s="155" t="n"/>
    </row>
    <row r="49" ht="16.5" customHeight="1" s="125">
      <c r="A49" s="45" t="n"/>
      <c r="B49" s="130" t="n"/>
      <c r="C49" s="152">
        <f>C50-1</f>
        <v/>
      </c>
      <c r="D49" s="153">
        <f>C49</f>
        <v/>
      </c>
      <c r="E49" s="11" t="inlineStr">
        <is>
          <t>節奏跑</t>
        </is>
      </c>
      <c r="F49" s="14" t="inlineStr">
        <is>
          <t>2k WU+6k Tempo@HMP+2k CD</t>
        </is>
      </c>
      <c r="G49" s="15" t="n">
        <v>10</v>
      </c>
      <c r="H49" s="46" t="n"/>
      <c r="I49" s="123" t="n"/>
      <c r="J49" s="147" t="n"/>
      <c r="M49" s="17" t="n"/>
      <c r="N49" s="155" t="n"/>
    </row>
    <row r="50" ht="16.5" customHeight="1" s="125">
      <c r="A50" s="45" t="n"/>
      <c r="B50" s="130" t="n"/>
      <c r="C50" s="152">
        <f>C51-1</f>
        <v/>
      </c>
      <c r="D50" s="153">
        <f>C50</f>
        <v/>
      </c>
      <c r="E50" s="10" t="inlineStr">
        <is>
          <t>輕鬆有氧</t>
        </is>
      </c>
      <c r="F50" s="14" t="inlineStr">
        <is>
          <t>10k Easy</t>
        </is>
      </c>
      <c r="G50" s="15" t="n">
        <v>10</v>
      </c>
      <c r="H50" s="46" t="n"/>
      <c r="I50" s="123" t="n"/>
      <c r="J50" s="147" t="n"/>
      <c r="M50" s="17" t="n"/>
      <c r="N50" s="155" t="n"/>
    </row>
    <row r="51" ht="16.5" customHeight="1" s="125">
      <c r="A51" s="45" t="n"/>
      <c r="B51" s="130" t="n"/>
      <c r="C51" s="152">
        <f>C52-1</f>
        <v/>
      </c>
      <c r="D51" s="156">
        <f>C51</f>
        <v/>
      </c>
      <c r="E51" s="10" t="inlineStr">
        <is>
          <t>輕鬆有氧</t>
        </is>
      </c>
      <c r="F51" s="14" t="inlineStr">
        <is>
          <t>8k Easy</t>
        </is>
      </c>
      <c r="G51" s="15" t="n">
        <v>8</v>
      </c>
      <c r="H51" s="46" t="n"/>
      <c r="I51" s="123" t="n"/>
      <c r="J51" s="147" t="n"/>
      <c r="M51" s="17" t="n"/>
      <c r="N51" s="155" t="n"/>
    </row>
    <row r="52" ht="16.5" customHeight="1" s="125">
      <c r="A52" s="56" t="n"/>
      <c r="B52" s="131" t="n"/>
      <c r="C52" s="158">
        <f>C53-1</f>
        <v/>
      </c>
      <c r="D52" s="159">
        <f>C52</f>
        <v/>
      </c>
      <c r="E52" s="40" t="inlineStr">
        <is>
          <t>長跑</t>
        </is>
      </c>
      <c r="F52" s="27" t="inlineStr">
        <is>
          <t>16k Long run</t>
        </is>
      </c>
      <c r="G52" s="28" t="n">
        <v>16</v>
      </c>
      <c r="H52" s="57" t="n"/>
      <c r="I52" s="124" t="n"/>
      <c r="J52" s="147" t="n"/>
      <c r="M52" s="17" t="n"/>
      <c r="N52" s="155" t="n"/>
    </row>
    <row r="53" ht="16.5" customHeight="1" s="125">
      <c r="A53" s="58" t="n"/>
      <c r="B53" s="129">
        <f>B46+1</f>
        <v/>
      </c>
      <c r="C53" s="160">
        <f>C54-1</f>
        <v/>
      </c>
      <c r="D53" s="161">
        <f>C53</f>
        <v/>
      </c>
      <c r="E53" s="31" t="inlineStr">
        <is>
          <t>輕鬆有氧</t>
        </is>
      </c>
      <c r="F53" s="39" t="inlineStr">
        <is>
          <t>10k Easy</t>
        </is>
      </c>
      <c r="G53" s="32" t="n">
        <v>10</v>
      </c>
      <c r="H53" s="59" t="n"/>
      <c r="I53" s="122">
        <f>SUM(G53:G59)</f>
        <v/>
      </c>
      <c r="J53" s="147" t="n"/>
      <c r="M53" s="17" t="n"/>
      <c r="N53" s="155" t="n"/>
    </row>
    <row r="54" ht="16.5" customHeight="1" s="125">
      <c r="A54" s="45" t="n"/>
      <c r="B54" s="130" t="n"/>
      <c r="C54" s="152">
        <f>C55-1</f>
        <v/>
      </c>
      <c r="D54" s="153">
        <f>C54</f>
        <v/>
      </c>
      <c r="E54" s="13" t="inlineStr">
        <is>
          <t>速度跑</t>
        </is>
      </c>
      <c r="F54" s="14" t="inlineStr">
        <is>
          <t>2k WU+5x(1000m@5-10k pace+600m jog rest)+2k CD</t>
        </is>
      </c>
      <c r="G54" s="15" t="n">
        <v>12</v>
      </c>
      <c r="H54" s="61" t="n"/>
      <c r="I54" s="123" t="n"/>
      <c r="J54" s="147" t="n"/>
      <c r="M54" s="17" t="n"/>
      <c r="N54" s="155" t="n"/>
    </row>
    <row r="55" ht="16.5" customHeight="1" s="125">
      <c r="A55" s="45" t="n"/>
      <c r="B55" s="130" t="n"/>
      <c r="C55" s="152">
        <f>C56-1</f>
        <v/>
      </c>
      <c r="D55" s="153">
        <f>C55</f>
        <v/>
      </c>
      <c r="E55" s="9" t="inlineStr">
        <is>
          <t>休息日</t>
        </is>
      </c>
      <c r="F55" s="37" t="n"/>
      <c r="G55" s="38" t="n"/>
      <c r="H55" s="46" t="n"/>
      <c r="I55" s="123" t="n"/>
      <c r="J55" s="147" t="n"/>
      <c r="M55" s="17" t="n"/>
      <c r="N55" s="155" t="n"/>
    </row>
    <row r="56" ht="16.5" customHeight="1" s="125">
      <c r="A56" s="45" t="n"/>
      <c r="B56" s="130" t="n"/>
      <c r="C56" s="152">
        <f>C57-1</f>
        <v/>
      </c>
      <c r="D56" s="153">
        <f>C56</f>
        <v/>
      </c>
      <c r="E56" s="11" t="inlineStr">
        <is>
          <t>節奏跑</t>
        </is>
      </c>
      <c r="F56" s="14" t="inlineStr">
        <is>
          <t>2k WU+8k Tempo@HMP+2k CD</t>
        </is>
      </c>
      <c r="G56" s="15" t="n">
        <v>12</v>
      </c>
      <c r="H56" s="46" t="n"/>
      <c r="I56" s="123" t="n"/>
      <c r="J56" s="147" t="n"/>
      <c r="M56" s="17" t="n"/>
      <c r="N56" s="155" t="n"/>
    </row>
    <row r="57" ht="16.5" customHeight="1" s="125">
      <c r="A57" s="45" t="n"/>
      <c r="B57" s="130" t="n"/>
      <c r="C57" s="152">
        <f>C58-1</f>
        <v/>
      </c>
      <c r="D57" s="153">
        <f>C57</f>
        <v/>
      </c>
      <c r="E57" s="10" t="inlineStr">
        <is>
          <t>輕鬆有氧</t>
        </is>
      </c>
      <c r="F57" s="14" t="inlineStr">
        <is>
          <t>10k Easy</t>
        </is>
      </c>
      <c r="G57" s="15" t="n">
        <v>10</v>
      </c>
      <c r="H57" s="46" t="n"/>
      <c r="I57" s="123" t="n"/>
      <c r="J57" s="147" t="n"/>
      <c r="M57" s="17" t="n"/>
      <c r="N57" s="155" t="n"/>
    </row>
    <row r="58" ht="16.5" customHeight="1" s="125">
      <c r="A58" s="45" t="n"/>
      <c r="B58" s="130" t="n"/>
      <c r="C58" s="152">
        <f>C59-1</f>
        <v/>
      </c>
      <c r="D58" s="156">
        <f>C58</f>
        <v/>
      </c>
      <c r="E58" s="10" t="inlineStr">
        <is>
          <t>輕鬆有氧</t>
        </is>
      </c>
      <c r="F58" s="14" t="inlineStr">
        <is>
          <t>10k Easy</t>
        </is>
      </c>
      <c r="G58" s="15" t="n">
        <v>10</v>
      </c>
      <c r="H58" s="46" t="n"/>
      <c r="I58" s="123" t="n"/>
      <c r="J58" s="147" t="n"/>
      <c r="M58" s="17" t="n"/>
      <c r="N58" s="155" t="n"/>
    </row>
    <row r="59" ht="16.5" customHeight="1" s="125">
      <c r="A59" s="56" t="n"/>
      <c r="B59" s="131" t="n"/>
      <c r="C59" s="158">
        <f>C60-1</f>
        <v/>
      </c>
      <c r="D59" s="159">
        <f>C59</f>
        <v/>
      </c>
      <c r="E59" s="40" t="inlineStr">
        <is>
          <t>長跑</t>
        </is>
      </c>
      <c r="F59" s="27" t="inlineStr">
        <is>
          <t>19k Long run</t>
        </is>
      </c>
      <c r="G59" s="28" t="n">
        <v>19</v>
      </c>
      <c r="H59" s="57" t="n"/>
      <c r="I59" s="124" t="n"/>
      <c r="J59" s="147" t="n"/>
      <c r="M59" s="17" t="n"/>
      <c r="N59" s="155" t="n"/>
    </row>
    <row r="60" ht="16.5" customHeight="1" s="125">
      <c r="A60" s="58" t="n"/>
      <c r="B60" s="129">
        <f>B53+1</f>
        <v/>
      </c>
      <c r="C60" s="160">
        <f>C61-1</f>
        <v/>
      </c>
      <c r="D60" s="161">
        <f>C60</f>
        <v/>
      </c>
      <c r="E60" s="31" t="inlineStr">
        <is>
          <t>輕鬆有氧</t>
        </is>
      </c>
      <c r="F60" s="39" t="inlineStr">
        <is>
          <t>8k Easy</t>
        </is>
      </c>
      <c r="G60" s="32" t="n">
        <v>8</v>
      </c>
      <c r="H60" s="59" t="n"/>
      <c r="I60" s="122">
        <f>SUM(G60:G66)</f>
        <v/>
      </c>
      <c r="J60" s="147" t="n"/>
      <c r="M60" s="17" t="n"/>
      <c r="N60" s="155" t="n"/>
    </row>
    <row r="61" ht="16.5" customHeight="1" s="125">
      <c r="A61" s="45" t="n"/>
      <c r="B61" s="130" t="n"/>
      <c r="C61" s="152">
        <f>C62-1</f>
        <v/>
      </c>
      <c r="D61" s="153">
        <f>C61</f>
        <v/>
      </c>
      <c r="E61" s="13" t="inlineStr">
        <is>
          <t>速度跑</t>
        </is>
      </c>
      <c r="F61" s="14" t="inlineStr">
        <is>
          <t>2k WU+6x(800m@5-10k pace+400m jog rest)+2k CD</t>
        </is>
      </c>
      <c r="G61" s="15" t="n">
        <v>11.2</v>
      </c>
      <c r="H61" s="46" t="n"/>
      <c r="I61" s="123" t="n"/>
      <c r="J61" s="147" t="n"/>
      <c r="M61" s="17" t="n"/>
      <c r="N61" s="155" t="n"/>
    </row>
    <row r="62" ht="16.5" customHeight="1" s="125">
      <c r="A62" s="45" t="n"/>
      <c r="B62" s="130" t="n"/>
      <c r="C62" s="152">
        <f>C63-1</f>
        <v/>
      </c>
      <c r="D62" s="153">
        <f>C62</f>
        <v/>
      </c>
      <c r="E62" s="9" t="inlineStr">
        <is>
          <t>休息日</t>
        </is>
      </c>
      <c r="F62" s="37" t="n"/>
      <c r="G62" s="38" t="n"/>
      <c r="H62" s="46" t="n"/>
      <c r="I62" s="123" t="n"/>
      <c r="J62" s="147" t="n"/>
      <c r="M62" s="17" t="n"/>
      <c r="N62" s="155" t="n"/>
    </row>
    <row r="63" ht="16.5" customHeight="1" s="125">
      <c r="A63" s="45" t="n"/>
      <c r="B63" s="130" t="n"/>
      <c r="C63" s="152">
        <f>C64-1</f>
        <v/>
      </c>
      <c r="D63" s="153">
        <f>C63</f>
        <v/>
      </c>
      <c r="E63" s="11" t="inlineStr">
        <is>
          <t>節奏跑</t>
        </is>
      </c>
      <c r="F63" s="14" t="inlineStr">
        <is>
          <t>2k WU+8k Tempo@HMP+2k CD</t>
        </is>
      </c>
      <c r="G63" s="15" t="n">
        <v>12</v>
      </c>
      <c r="H63" s="46" t="n"/>
      <c r="I63" s="123" t="n"/>
      <c r="J63" s="147" t="n"/>
      <c r="M63" s="17" t="n"/>
      <c r="N63" s="155" t="n"/>
    </row>
    <row r="64" ht="16.5" customHeight="1" s="125">
      <c r="A64" s="45" t="n"/>
      <c r="B64" s="130" t="n"/>
      <c r="C64" s="152">
        <f>C65-1</f>
        <v/>
      </c>
      <c r="D64" s="153">
        <f>C64</f>
        <v/>
      </c>
      <c r="E64" s="10" t="inlineStr">
        <is>
          <t>輕鬆有氧</t>
        </is>
      </c>
      <c r="F64" s="14" t="inlineStr">
        <is>
          <t>10k Easy</t>
        </is>
      </c>
      <c r="G64" s="15" t="n">
        <v>10</v>
      </c>
      <c r="H64" s="46" t="n"/>
      <c r="I64" s="123" t="n"/>
      <c r="J64" s="147" t="n"/>
      <c r="M64" s="17" t="n"/>
      <c r="N64" s="155" t="n"/>
    </row>
    <row r="65" ht="16.5" customHeight="1" s="125">
      <c r="A65" s="45" t="n"/>
      <c r="B65" s="130" t="n"/>
      <c r="C65" s="152">
        <f>C66-1</f>
        <v/>
      </c>
      <c r="D65" s="156">
        <f>C65</f>
        <v/>
      </c>
      <c r="E65" s="10" t="inlineStr">
        <is>
          <t>輕鬆有氧</t>
        </is>
      </c>
      <c r="F65" s="14" t="inlineStr">
        <is>
          <t>8k Easy</t>
        </is>
      </c>
      <c r="G65" s="15" t="n">
        <v>8</v>
      </c>
      <c r="H65" s="46" t="n"/>
      <c r="I65" s="123" t="n"/>
      <c r="J65" s="147" t="n"/>
      <c r="M65" s="17" t="n"/>
      <c r="N65" s="155" t="n"/>
    </row>
    <row r="66" ht="16.5" customHeight="1" s="125">
      <c r="A66" s="56" t="n"/>
      <c r="B66" s="131" t="n"/>
      <c r="C66" s="158">
        <f>C67-1</f>
        <v/>
      </c>
      <c r="D66" s="159">
        <f>C66</f>
        <v/>
      </c>
      <c r="E66" s="40" t="inlineStr">
        <is>
          <t>長跑</t>
        </is>
      </c>
      <c r="F66" s="27" t="inlineStr">
        <is>
          <t>16k Long run</t>
        </is>
      </c>
      <c r="G66" s="28" t="n">
        <v>16</v>
      </c>
      <c r="H66" s="57" t="n"/>
      <c r="I66" s="124" t="n"/>
      <c r="J66" s="147" t="n"/>
      <c r="M66" s="17" t="n"/>
      <c r="N66" s="155" t="n"/>
    </row>
    <row r="67" ht="16.5" customHeight="1" s="125">
      <c r="A67" s="58" t="n"/>
      <c r="B67" s="129">
        <f>B60+1</f>
        <v/>
      </c>
      <c r="C67" s="160">
        <f>C68-1</f>
        <v/>
      </c>
      <c r="D67" s="161">
        <f>C67</f>
        <v/>
      </c>
      <c r="E67" s="31" t="inlineStr">
        <is>
          <t>輕鬆有氧</t>
        </is>
      </c>
      <c r="F67" s="39" t="inlineStr">
        <is>
          <t>11k Easy</t>
        </is>
      </c>
      <c r="G67" s="32" t="n">
        <v>11</v>
      </c>
      <c r="H67" s="59" t="n"/>
      <c r="I67" s="122">
        <f>SUM(G67:G73)</f>
        <v/>
      </c>
      <c r="J67" s="147" t="n"/>
    </row>
    <row r="68" ht="16.5" customHeight="1" s="125">
      <c r="A68" s="45" t="n"/>
      <c r="B68" s="130" t="n"/>
      <c r="C68" s="152">
        <f>C69-1</f>
        <v/>
      </c>
      <c r="D68" s="153">
        <f>C68</f>
        <v/>
      </c>
      <c r="E68" s="13" t="inlineStr">
        <is>
          <t>速度跑</t>
        </is>
      </c>
      <c r="F68" s="14" t="inlineStr">
        <is>
          <t>2k WU+12x(400m@5-10k pace+400m jog rest)+2k CD</t>
        </is>
      </c>
      <c r="G68" s="15" t="n">
        <v>13.6</v>
      </c>
      <c r="H68" s="61" t="n"/>
      <c r="I68" s="123" t="n"/>
      <c r="J68" s="147" t="n"/>
    </row>
    <row r="69" ht="16.5" customHeight="1" s="125">
      <c r="A69" s="45" t="n"/>
      <c r="B69" s="130" t="n"/>
      <c r="C69" s="152">
        <f>C70-1</f>
        <v/>
      </c>
      <c r="D69" s="153">
        <f>C69</f>
        <v/>
      </c>
      <c r="E69" s="9" t="inlineStr">
        <is>
          <t>休息日</t>
        </is>
      </c>
      <c r="F69" s="37" t="n"/>
      <c r="G69" s="38" t="n"/>
      <c r="H69" s="46" t="n"/>
      <c r="I69" s="123" t="n"/>
      <c r="J69" s="147" t="n"/>
    </row>
    <row r="70" ht="16.5" customHeight="1" s="125">
      <c r="A70" s="45" t="n"/>
      <c r="B70" s="130" t="n"/>
      <c r="C70" s="152">
        <f>C71-1</f>
        <v/>
      </c>
      <c r="D70" s="153">
        <f>C70</f>
        <v/>
      </c>
      <c r="E70" s="11" t="inlineStr">
        <is>
          <t>節奏跑</t>
        </is>
      </c>
      <c r="F70" s="14" t="inlineStr">
        <is>
          <t>2k WU+8k Tempo@HMP+2k CD</t>
        </is>
      </c>
      <c r="G70" s="15" t="n">
        <v>12</v>
      </c>
      <c r="H70" s="46" t="n"/>
      <c r="I70" s="123" t="n"/>
      <c r="J70" s="147" t="n"/>
    </row>
    <row r="71" ht="16.5" customHeight="1" s="125">
      <c r="A71" s="45" t="n"/>
      <c r="B71" s="130" t="n"/>
      <c r="C71" s="152">
        <f>C72-1</f>
        <v/>
      </c>
      <c r="D71" s="153">
        <f>C71</f>
        <v/>
      </c>
      <c r="E71" s="10" t="inlineStr">
        <is>
          <t>輕鬆有氧</t>
        </is>
      </c>
      <c r="F71" s="14" t="inlineStr">
        <is>
          <t>8k Easy</t>
        </is>
      </c>
      <c r="G71" s="15" t="n">
        <v>8</v>
      </c>
      <c r="H71" s="46" t="n"/>
      <c r="I71" s="123" t="n"/>
      <c r="J71" s="147" t="n"/>
    </row>
    <row r="72" ht="16.5" customHeight="1" s="125">
      <c r="A72" s="45" t="n"/>
      <c r="B72" s="130" t="n"/>
      <c r="C72" s="152">
        <f>C73-1</f>
        <v/>
      </c>
      <c r="D72" s="156">
        <f>C72</f>
        <v/>
      </c>
      <c r="E72" s="10" t="inlineStr">
        <is>
          <t>輕鬆有氧</t>
        </is>
      </c>
      <c r="F72" s="14" t="inlineStr">
        <is>
          <t>10k Easy</t>
        </is>
      </c>
      <c r="G72" s="15" t="n">
        <v>10</v>
      </c>
      <c r="H72" s="46" t="n"/>
      <c r="I72" s="123" t="n"/>
      <c r="J72" s="147" t="n"/>
    </row>
    <row r="73" ht="16.5" customHeight="1" s="125">
      <c r="A73" s="56" t="n"/>
      <c r="B73" s="131" t="n"/>
      <c r="C73" s="158">
        <f>C74-1</f>
        <v/>
      </c>
      <c r="D73" s="159">
        <f>C73</f>
        <v/>
      </c>
      <c r="E73" s="40" t="inlineStr">
        <is>
          <t>長跑</t>
        </is>
      </c>
      <c r="F73" s="27" t="inlineStr">
        <is>
          <t>19k Long run</t>
        </is>
      </c>
      <c r="G73" s="28" t="n">
        <v>19</v>
      </c>
      <c r="H73" s="57" t="n"/>
      <c r="I73" s="124" t="n"/>
      <c r="J73" s="147" t="n"/>
    </row>
    <row r="74" ht="16.5" customHeight="1" s="125">
      <c r="A74" s="58" t="n"/>
      <c r="B74" s="129">
        <f>B67+1</f>
        <v/>
      </c>
      <c r="C74" s="160">
        <f>C75-1</f>
        <v/>
      </c>
      <c r="D74" s="161">
        <f>C74</f>
        <v/>
      </c>
      <c r="E74" s="31" t="inlineStr">
        <is>
          <t>輕鬆有氧</t>
        </is>
      </c>
      <c r="F74" s="39" t="inlineStr">
        <is>
          <t>8k Easy</t>
        </is>
      </c>
      <c r="G74" s="32" t="n">
        <v>8</v>
      </c>
      <c r="H74" s="59" t="n"/>
      <c r="I74" s="122">
        <f>SUM(G74:G80)</f>
        <v/>
      </c>
      <c r="J74" s="147" t="n"/>
    </row>
    <row r="75" ht="16.5" customHeight="1" s="125">
      <c r="A75" s="45" t="n"/>
      <c r="B75" s="130" t="n"/>
      <c r="C75" s="152">
        <f>C76-1</f>
        <v/>
      </c>
      <c r="D75" s="153">
        <f>C75</f>
        <v/>
      </c>
      <c r="E75" s="12" t="inlineStr">
        <is>
          <t>強化跑</t>
        </is>
      </c>
      <c r="F75" s="14" t="inlineStr">
        <is>
          <t>2k WU+6x(2000m@10k pace+400m jog rest)+2k CD</t>
        </is>
      </c>
      <c r="G75" s="15" t="n">
        <v>18.4</v>
      </c>
      <c r="H75" s="61" t="n"/>
      <c r="I75" s="123" t="n"/>
      <c r="J75" s="147" t="n"/>
    </row>
    <row r="76" ht="16.5" customHeight="1" s="125">
      <c r="A76" s="45" t="n"/>
      <c r="B76" s="130" t="n"/>
      <c r="C76" s="152">
        <f>C77-1</f>
        <v/>
      </c>
      <c r="D76" s="153">
        <f>C76</f>
        <v/>
      </c>
      <c r="E76" s="9" t="inlineStr">
        <is>
          <t>休息日</t>
        </is>
      </c>
      <c r="F76" s="37" t="n"/>
      <c r="G76" s="38" t="n"/>
      <c r="H76" s="46" t="n"/>
      <c r="I76" s="123" t="n"/>
      <c r="J76" s="147" t="n"/>
    </row>
    <row r="77" ht="16.5" customHeight="1" s="125">
      <c r="A77" s="45" t="n"/>
      <c r="B77" s="130" t="n"/>
      <c r="C77" s="152">
        <f>C78-1</f>
        <v/>
      </c>
      <c r="D77" s="153">
        <f>C77</f>
        <v/>
      </c>
      <c r="E77" s="11" t="inlineStr">
        <is>
          <t>節奏跑</t>
        </is>
      </c>
      <c r="F77" s="14" t="inlineStr">
        <is>
          <t>2k WU+10k Tempo@HMP+2k CD</t>
        </is>
      </c>
      <c r="G77" s="15" t="n">
        <v>14</v>
      </c>
      <c r="H77" s="46" t="n"/>
      <c r="I77" s="123" t="n"/>
      <c r="J77" s="147" t="n"/>
    </row>
    <row r="78" ht="16.5" customHeight="1" s="125">
      <c r="A78" s="45" t="n"/>
      <c r="B78" s="130" t="n"/>
      <c r="C78" s="152">
        <f>C79-1</f>
        <v/>
      </c>
      <c r="D78" s="153">
        <f>C78</f>
        <v/>
      </c>
      <c r="E78" s="10" t="inlineStr">
        <is>
          <t>輕鬆有氧</t>
        </is>
      </c>
      <c r="F78" s="14" t="inlineStr">
        <is>
          <t>10k Easy</t>
        </is>
      </c>
      <c r="G78" s="15" t="n">
        <v>10</v>
      </c>
      <c r="H78" s="46" t="n"/>
      <c r="I78" s="123" t="n"/>
      <c r="J78" s="147" t="n"/>
    </row>
    <row r="79" ht="16.5" customHeight="1" s="125">
      <c r="A79" s="45" t="n"/>
      <c r="B79" s="130" t="n"/>
      <c r="C79" s="152">
        <f>C80-1</f>
        <v/>
      </c>
      <c r="D79" s="156">
        <f>C79</f>
        <v/>
      </c>
      <c r="E79" s="10" t="inlineStr">
        <is>
          <t>輕鬆有氧</t>
        </is>
      </c>
      <c r="F79" s="14" t="inlineStr">
        <is>
          <t>8k Easy</t>
        </is>
      </c>
      <c r="G79" s="15" t="n">
        <v>8</v>
      </c>
      <c r="H79" s="46" t="n"/>
      <c r="I79" s="123" t="n"/>
      <c r="J79" s="147" t="n"/>
    </row>
    <row r="80" ht="16.5" customHeight="1" s="125">
      <c r="A80" s="56" t="n"/>
      <c r="B80" s="131" t="n"/>
      <c r="C80" s="158">
        <f>C81-1</f>
        <v/>
      </c>
      <c r="D80" s="159">
        <f>C80</f>
        <v/>
      </c>
      <c r="E80" s="40" t="inlineStr">
        <is>
          <t>長跑</t>
        </is>
      </c>
      <c r="F80" s="27" t="inlineStr">
        <is>
          <t>16k Long run</t>
        </is>
      </c>
      <c r="G80" s="28" t="n">
        <v>16</v>
      </c>
      <c r="H80" s="57" t="n"/>
      <c r="I80" s="124" t="n"/>
      <c r="J80" s="147" t="n"/>
    </row>
    <row r="81" ht="16.5" customHeight="1" s="125">
      <c r="A81" s="58" t="n"/>
      <c r="B81" s="129">
        <f>B74+1</f>
        <v/>
      </c>
      <c r="C81" s="160">
        <f>C82-1</f>
        <v/>
      </c>
      <c r="D81" s="161">
        <f>C81</f>
        <v/>
      </c>
      <c r="E81" s="31" t="inlineStr">
        <is>
          <t>輕鬆有氧</t>
        </is>
      </c>
      <c r="F81" s="39" t="inlineStr">
        <is>
          <t>8k Easy</t>
        </is>
      </c>
      <c r="G81" s="32" t="n">
        <v>8</v>
      </c>
      <c r="H81" s="59" t="n"/>
      <c r="I81" s="122">
        <f>SUM(G81:G87)</f>
        <v/>
      </c>
      <c r="J81" s="147" t="n"/>
    </row>
    <row r="82" ht="16.5" customHeight="1" s="125">
      <c r="A82" s="45" t="n"/>
      <c r="B82" s="130" t="n"/>
      <c r="C82" s="152">
        <f>C83-1</f>
        <v/>
      </c>
      <c r="D82" s="153">
        <f>C82</f>
        <v/>
      </c>
      <c r="E82" s="12" t="inlineStr">
        <is>
          <t>強化跑</t>
        </is>
      </c>
      <c r="F82" s="14" t="inlineStr">
        <is>
          <t>2k WU+4x(2000m@10k pace+800m jog rest)+2k CD</t>
        </is>
      </c>
      <c r="G82" s="15" t="n">
        <v>15.2</v>
      </c>
      <c r="H82" s="46" t="n"/>
      <c r="I82" s="123" t="n"/>
      <c r="J82" s="147" t="n"/>
    </row>
    <row r="83" ht="16.5" customHeight="1" s="125">
      <c r="A83" s="45" t="n"/>
      <c r="B83" s="130" t="n"/>
      <c r="C83" s="152">
        <f>C84-1</f>
        <v/>
      </c>
      <c r="D83" s="153">
        <f>C83</f>
        <v/>
      </c>
      <c r="E83" s="9" t="inlineStr">
        <is>
          <t>休息日</t>
        </is>
      </c>
      <c r="F83" s="37" t="n"/>
      <c r="G83" s="38" t="n"/>
      <c r="H83" s="46" t="n"/>
      <c r="I83" s="123" t="n"/>
      <c r="J83" s="147" t="n"/>
    </row>
    <row r="84" ht="16.5" customHeight="1" s="125">
      <c r="A84" s="45" t="n"/>
      <c r="B84" s="130" t="n"/>
      <c r="C84" s="152">
        <f>C85-1</f>
        <v/>
      </c>
      <c r="D84" s="153">
        <f>C84</f>
        <v/>
      </c>
      <c r="E84" s="11" t="inlineStr">
        <is>
          <t>節奏跑</t>
        </is>
      </c>
      <c r="F84" s="14" t="inlineStr">
        <is>
          <t>2k WU+10k Tempo@HMP+2k CD</t>
        </is>
      </c>
      <c r="G84" s="15" t="n">
        <v>14</v>
      </c>
      <c r="H84" s="46" t="n"/>
      <c r="I84" s="123" t="n"/>
      <c r="J84" s="147" t="n"/>
    </row>
    <row r="85" ht="16.5" customHeight="1" s="125">
      <c r="A85" s="45" t="n"/>
      <c r="B85" s="130" t="n"/>
      <c r="C85" s="152">
        <f>C86-1</f>
        <v/>
      </c>
      <c r="D85" s="153">
        <f>C85</f>
        <v/>
      </c>
      <c r="E85" s="10" t="inlineStr">
        <is>
          <t>輕鬆有氧</t>
        </is>
      </c>
      <c r="F85" s="14" t="inlineStr">
        <is>
          <t>8k Easy</t>
        </is>
      </c>
      <c r="G85" s="15" t="n">
        <v>8</v>
      </c>
      <c r="H85" s="46" t="n"/>
      <c r="I85" s="123" t="n"/>
      <c r="J85" s="147" t="n"/>
    </row>
    <row r="86" ht="16.5" customHeight="1" s="125">
      <c r="A86" s="45" t="n"/>
      <c r="B86" s="130" t="n"/>
      <c r="C86" s="152">
        <f>C87-1</f>
        <v/>
      </c>
      <c r="D86" s="156">
        <f>C86</f>
        <v/>
      </c>
      <c r="E86" s="10" t="inlineStr">
        <is>
          <t>輕鬆有氧</t>
        </is>
      </c>
      <c r="F86" s="14" t="inlineStr">
        <is>
          <t>10k Easy</t>
        </is>
      </c>
      <c r="G86" s="15" t="n">
        <v>10</v>
      </c>
      <c r="H86" s="46" t="n"/>
      <c r="I86" s="123" t="n"/>
      <c r="J86" s="147" t="n"/>
    </row>
    <row r="87" ht="16.5" customHeight="1" s="125">
      <c r="A87" s="56" t="n"/>
      <c r="B87" s="131" t="n"/>
      <c r="C87" s="158">
        <f>C88-1</f>
        <v/>
      </c>
      <c r="D87" s="159">
        <f>C87</f>
        <v/>
      </c>
      <c r="E87" s="40" t="inlineStr">
        <is>
          <t>長跑</t>
        </is>
      </c>
      <c r="F87" s="27" t="inlineStr">
        <is>
          <t>23k Long run</t>
        </is>
      </c>
      <c r="G87" s="28" t="n">
        <v>23</v>
      </c>
      <c r="H87" s="57" t="n"/>
      <c r="I87" s="124" t="n"/>
      <c r="J87" s="147" t="n"/>
    </row>
    <row r="88" ht="16.5" customHeight="1" s="125">
      <c r="A88" s="58" t="n"/>
      <c r="B88" s="129">
        <f>B81+1</f>
        <v/>
      </c>
      <c r="C88" s="160">
        <f>C89-1</f>
        <v/>
      </c>
      <c r="D88" s="161">
        <f>C88</f>
        <v/>
      </c>
      <c r="E88" s="31" t="inlineStr">
        <is>
          <t>輕鬆有氧</t>
        </is>
      </c>
      <c r="F88" s="39" t="inlineStr">
        <is>
          <t>11k Easy</t>
        </is>
      </c>
      <c r="G88" s="32" t="n">
        <v>11</v>
      </c>
      <c r="H88" s="59" t="n"/>
      <c r="I88" s="122">
        <f>SUM(G88:G94)</f>
        <v/>
      </c>
      <c r="J88" s="147" t="n"/>
    </row>
    <row r="89" ht="16.5" customHeight="1" s="125">
      <c r="A89" s="45" t="n"/>
      <c r="B89" s="130" t="n"/>
      <c r="C89" s="152">
        <f>C90-1</f>
        <v/>
      </c>
      <c r="D89" s="153">
        <f>C89</f>
        <v/>
      </c>
      <c r="E89" s="12" t="inlineStr">
        <is>
          <t>強化跑</t>
        </is>
      </c>
      <c r="F89" s="14" t="inlineStr">
        <is>
          <t>2k WU+3x(3000m@10k pace+800m jog rest)+2k CD</t>
        </is>
      </c>
      <c r="G89" s="15" t="n">
        <v>15.4</v>
      </c>
      <c r="H89" s="46" t="n"/>
      <c r="I89" s="123" t="n"/>
      <c r="J89" s="147" t="n"/>
    </row>
    <row r="90" ht="16.5" customHeight="1" s="125">
      <c r="A90" s="45" t="n"/>
      <c r="B90" s="130" t="n"/>
      <c r="C90" s="152">
        <f>C91-1</f>
        <v/>
      </c>
      <c r="D90" s="153">
        <f>C90</f>
        <v/>
      </c>
      <c r="E90" s="9" t="inlineStr">
        <is>
          <t>休息日</t>
        </is>
      </c>
      <c r="F90" s="37" t="n"/>
      <c r="G90" s="38" t="n"/>
      <c r="H90" s="46" t="n"/>
      <c r="I90" s="123" t="n"/>
      <c r="J90" s="147" t="n"/>
    </row>
    <row r="91" ht="16.5" customHeight="1" s="125">
      <c r="A91" s="45" t="n"/>
      <c r="B91" s="130" t="n"/>
      <c r="C91" s="152">
        <f>C92-1</f>
        <v/>
      </c>
      <c r="D91" s="153">
        <f>C91</f>
        <v/>
      </c>
      <c r="E91" s="11" t="inlineStr">
        <is>
          <t>節奏跑</t>
        </is>
      </c>
      <c r="F91" s="14" t="inlineStr">
        <is>
          <t>2k WU+10k Tempo@HMP+2k CD</t>
        </is>
      </c>
      <c r="G91" s="15" t="n">
        <v>14</v>
      </c>
      <c r="H91" s="46" t="n"/>
      <c r="I91" s="123" t="n"/>
      <c r="J91" s="147" t="n"/>
    </row>
    <row r="92" ht="16.5" customHeight="1" s="125">
      <c r="A92" s="45" t="n"/>
      <c r="B92" s="130" t="n"/>
      <c r="C92" s="152">
        <f>C93-1</f>
        <v/>
      </c>
      <c r="D92" s="153">
        <f>C92</f>
        <v/>
      </c>
      <c r="E92" s="10" t="inlineStr">
        <is>
          <t>輕鬆有氧</t>
        </is>
      </c>
      <c r="F92" s="14" t="inlineStr">
        <is>
          <t>10k Easy</t>
        </is>
      </c>
      <c r="G92" s="15" t="n">
        <v>10</v>
      </c>
      <c r="H92" s="46" t="n"/>
      <c r="I92" s="123" t="n"/>
      <c r="J92" s="147" t="n"/>
    </row>
    <row r="93" ht="16.5" customHeight="1" s="125">
      <c r="A93" s="45" t="n"/>
      <c r="B93" s="130" t="n"/>
      <c r="C93" s="152">
        <f>C94-1</f>
        <v/>
      </c>
      <c r="D93" s="156">
        <f>C93</f>
        <v/>
      </c>
      <c r="E93" s="10" t="inlineStr">
        <is>
          <t>輕鬆有氧</t>
        </is>
      </c>
      <c r="F93" s="14" t="inlineStr">
        <is>
          <t>8k Easy</t>
        </is>
      </c>
      <c r="G93" s="15" t="n">
        <v>8</v>
      </c>
      <c r="H93" s="46" t="n"/>
      <c r="I93" s="123" t="n"/>
      <c r="J93" s="147" t="n"/>
    </row>
    <row r="94" ht="16.5" customHeight="1" s="125">
      <c r="A94" s="56" t="n"/>
      <c r="B94" s="131" t="n"/>
      <c r="C94" s="158">
        <f>C95-1</f>
        <v/>
      </c>
      <c r="D94" s="159">
        <f>C94</f>
        <v/>
      </c>
      <c r="E94" s="40" t="inlineStr">
        <is>
          <t>長跑</t>
        </is>
      </c>
      <c r="F94" s="27" t="inlineStr">
        <is>
          <t>16k Long run</t>
        </is>
      </c>
      <c r="G94" s="28" t="n">
        <v>16</v>
      </c>
      <c r="H94" s="57" t="n"/>
      <c r="I94" s="124" t="n"/>
      <c r="J94" s="147" t="n"/>
    </row>
    <row r="95" ht="16.5" customHeight="1" s="125">
      <c r="A95" s="58" t="n"/>
      <c r="B95" s="129">
        <f>B88+1</f>
        <v/>
      </c>
      <c r="C95" s="160">
        <f>C96-1</f>
        <v/>
      </c>
      <c r="D95" s="161">
        <f>C95</f>
        <v/>
      </c>
      <c r="E95" s="31" t="inlineStr">
        <is>
          <t>輕鬆有氧</t>
        </is>
      </c>
      <c r="F95" s="39" t="inlineStr">
        <is>
          <t>8k Easy</t>
        </is>
      </c>
      <c r="G95" s="32" t="n">
        <v>8</v>
      </c>
      <c r="H95" s="59" t="n"/>
      <c r="I95" s="122">
        <f>SUM(G95:G101)</f>
        <v/>
      </c>
      <c r="J95" s="147" t="n"/>
    </row>
    <row r="96" ht="16.5" customHeight="1" s="125">
      <c r="A96" s="45" t="n"/>
      <c r="B96" s="130" t="n"/>
      <c r="C96" s="152">
        <f>C97-1</f>
        <v/>
      </c>
      <c r="D96" s="153">
        <f>C96</f>
        <v/>
      </c>
      <c r="E96" s="12" t="inlineStr">
        <is>
          <t>強化跑</t>
        </is>
      </c>
      <c r="F96" s="14" t="inlineStr">
        <is>
          <t>2k WU+2x(5000m@10k pace+2km jog rest)+2k CD</t>
        </is>
      </c>
      <c r="G96" s="15" t="n">
        <v>18</v>
      </c>
      <c r="H96" s="46" t="n"/>
      <c r="I96" s="123" t="n"/>
      <c r="J96" s="147" t="n"/>
    </row>
    <row r="97" ht="16.5" customHeight="1" s="125">
      <c r="A97" s="45" t="n"/>
      <c r="B97" s="130" t="n"/>
      <c r="C97" s="152">
        <f>C98-1</f>
        <v/>
      </c>
      <c r="D97" s="153">
        <f>C97</f>
        <v/>
      </c>
      <c r="E97" s="9" t="inlineStr">
        <is>
          <t>休息日</t>
        </is>
      </c>
      <c r="F97" s="37" t="n"/>
      <c r="G97" s="38" t="n"/>
      <c r="H97" s="46" t="n"/>
      <c r="I97" s="123" t="n"/>
      <c r="J97" s="147" t="n"/>
    </row>
    <row r="98" ht="16.5" customHeight="1" s="125">
      <c r="A98" s="45" t="n"/>
      <c r="B98" s="130" t="n"/>
      <c r="C98" s="152">
        <f>C99-1</f>
        <v/>
      </c>
      <c r="D98" s="153">
        <f>C98</f>
        <v/>
      </c>
      <c r="E98" s="11" t="inlineStr">
        <is>
          <t>節奏跑</t>
        </is>
      </c>
      <c r="F98" s="14" t="inlineStr">
        <is>
          <t>2k WU+11k Tempo@HMP+2k CD</t>
        </is>
      </c>
      <c r="G98" s="15" t="n">
        <v>15</v>
      </c>
      <c r="H98" s="46" t="n"/>
      <c r="I98" s="123" t="n"/>
      <c r="J98" s="147" t="n"/>
    </row>
    <row r="99" ht="16.5" customHeight="1" s="125">
      <c r="A99" s="45" t="n"/>
      <c r="B99" s="130" t="n"/>
      <c r="C99" s="152">
        <f>C100-1</f>
        <v/>
      </c>
      <c r="D99" s="153">
        <f>C99</f>
        <v/>
      </c>
      <c r="E99" s="10" t="inlineStr">
        <is>
          <t>輕鬆有氧</t>
        </is>
      </c>
      <c r="F99" s="14" t="inlineStr">
        <is>
          <t>8k Easy</t>
        </is>
      </c>
      <c r="G99" s="15" t="n">
        <v>8</v>
      </c>
      <c r="H99" s="46" t="n"/>
      <c r="I99" s="123" t="n"/>
      <c r="J99" s="147" t="n"/>
    </row>
    <row r="100" ht="16.5" customHeight="1" s="125">
      <c r="A100" s="45" t="n"/>
      <c r="B100" s="130" t="n"/>
      <c r="C100" s="152">
        <f>C101-1</f>
        <v/>
      </c>
      <c r="D100" s="156">
        <f>C100</f>
        <v/>
      </c>
      <c r="E100" s="10" t="inlineStr">
        <is>
          <t>輕鬆有氧</t>
        </is>
      </c>
      <c r="F100" s="14" t="inlineStr">
        <is>
          <t>10k Easy</t>
        </is>
      </c>
      <c r="G100" s="15" t="n">
        <v>10</v>
      </c>
      <c r="H100" s="46" t="n"/>
      <c r="I100" s="123" t="n"/>
      <c r="J100" s="147" t="n"/>
    </row>
    <row r="101" ht="16.5" customHeight="1" s="125">
      <c r="A101" s="56" t="n"/>
      <c r="B101" s="131" t="n"/>
      <c r="C101" s="158">
        <f>C102-1</f>
        <v/>
      </c>
      <c r="D101" s="159">
        <f>C101</f>
        <v/>
      </c>
      <c r="E101" s="40" t="inlineStr">
        <is>
          <t>長跑</t>
        </is>
      </c>
      <c r="F101" s="27" t="inlineStr">
        <is>
          <t>23k Long run</t>
        </is>
      </c>
      <c r="G101" s="28" t="n">
        <v>23</v>
      </c>
      <c r="H101" s="57" t="n"/>
      <c r="I101" s="124" t="n"/>
      <c r="J101" s="147" t="n"/>
    </row>
    <row r="102" ht="16.5" customHeight="1" s="125">
      <c r="A102" s="58" t="n"/>
      <c r="B102" s="129">
        <f>B95+1</f>
        <v/>
      </c>
      <c r="C102" s="160">
        <f>C103-1</f>
        <v/>
      </c>
      <c r="D102" s="161">
        <f>C102</f>
        <v/>
      </c>
      <c r="E102" s="31" t="inlineStr">
        <is>
          <t>輕鬆有氧</t>
        </is>
      </c>
      <c r="F102" s="39" t="inlineStr">
        <is>
          <t>11k Easy</t>
        </is>
      </c>
      <c r="G102" s="32" t="n">
        <v>11</v>
      </c>
      <c r="H102" s="59" t="n"/>
      <c r="I102" s="122">
        <f>SUM(G102:G108)</f>
        <v/>
      </c>
      <c r="J102" s="147" t="n"/>
    </row>
    <row r="103" ht="16.5" customHeight="1" s="125">
      <c r="A103" s="45" t="n"/>
      <c r="B103" s="130" t="n"/>
      <c r="C103" s="152">
        <f>C104-1</f>
        <v/>
      </c>
      <c r="D103" s="153">
        <f>C103</f>
        <v/>
      </c>
      <c r="E103" s="12" t="inlineStr">
        <is>
          <t>強化跑</t>
        </is>
      </c>
      <c r="F103" s="14" t="inlineStr">
        <is>
          <t>2k WU+3x(3000m@10k pace+800m jog rest)+2k CD</t>
        </is>
      </c>
      <c r="G103" s="15" t="n">
        <v>15.4</v>
      </c>
      <c r="H103" s="46" t="n"/>
      <c r="I103" s="123" t="n"/>
      <c r="J103" s="147" t="n"/>
    </row>
    <row r="104" ht="16.5" customHeight="1" s="125">
      <c r="A104" s="45" t="n"/>
      <c r="B104" s="130" t="n"/>
      <c r="C104" s="152">
        <f>C105-1</f>
        <v/>
      </c>
      <c r="D104" s="153">
        <f>C104</f>
        <v/>
      </c>
      <c r="E104" s="9" t="inlineStr">
        <is>
          <t>休息日</t>
        </is>
      </c>
      <c r="F104" s="37" t="n"/>
      <c r="G104" s="38" t="n"/>
      <c r="H104" s="46" t="n"/>
      <c r="I104" s="123" t="n"/>
      <c r="J104" s="147" t="n"/>
    </row>
    <row r="105" ht="16.5" customHeight="1" s="125">
      <c r="A105" s="45" t="n"/>
      <c r="B105" s="130" t="n"/>
      <c r="C105" s="152">
        <f>C106-1</f>
        <v/>
      </c>
      <c r="D105" s="153">
        <f>C105</f>
        <v/>
      </c>
      <c r="E105" s="11" t="inlineStr">
        <is>
          <t>節奏跑</t>
        </is>
      </c>
      <c r="F105" s="14" t="inlineStr">
        <is>
          <t>2k WU+11k Tempo@HMP+2k CD</t>
        </is>
      </c>
      <c r="G105" s="15" t="n">
        <v>15</v>
      </c>
      <c r="H105" s="46" t="n"/>
      <c r="I105" s="123" t="n"/>
      <c r="J105" s="147" t="n"/>
    </row>
    <row r="106" ht="16.5" customHeight="1" s="125">
      <c r="A106" s="45" t="n"/>
      <c r="B106" s="130" t="n"/>
      <c r="C106" s="152">
        <f>C107-1</f>
        <v/>
      </c>
      <c r="D106" s="153">
        <f>C106</f>
        <v/>
      </c>
      <c r="E106" s="10" t="inlineStr">
        <is>
          <t>輕鬆有氧</t>
        </is>
      </c>
      <c r="F106" s="14" t="inlineStr">
        <is>
          <t>10k Easy</t>
        </is>
      </c>
      <c r="G106" s="15" t="n">
        <v>10</v>
      </c>
      <c r="H106" s="46" t="n"/>
      <c r="I106" s="123" t="n"/>
      <c r="J106" s="147" t="n"/>
    </row>
    <row r="107" ht="16.5" customHeight="1" s="125">
      <c r="A107" s="45" t="n"/>
      <c r="B107" s="130" t="n"/>
      <c r="C107" s="152">
        <f>C108-1</f>
        <v/>
      </c>
      <c r="D107" s="156">
        <f>C107</f>
        <v/>
      </c>
      <c r="E107" s="10" t="inlineStr">
        <is>
          <t>輕鬆有氧</t>
        </is>
      </c>
      <c r="F107" s="14" t="inlineStr">
        <is>
          <t>8k Easy</t>
        </is>
      </c>
      <c r="G107" s="15" t="n">
        <v>8</v>
      </c>
      <c r="H107" s="46" t="n"/>
      <c r="I107" s="123" t="n"/>
      <c r="J107" s="147" t="n"/>
    </row>
    <row r="108" ht="16.5" customHeight="1" s="125">
      <c r="A108" s="56" t="n"/>
      <c r="B108" s="131" t="n"/>
      <c r="C108" s="158">
        <f>C109-1</f>
        <v/>
      </c>
      <c r="D108" s="159">
        <f>C108</f>
        <v/>
      </c>
      <c r="E108" s="40" t="inlineStr">
        <is>
          <t>長跑</t>
        </is>
      </c>
      <c r="F108" s="27" t="inlineStr">
        <is>
          <t>16k Long run</t>
        </is>
      </c>
      <c r="G108" s="28" t="n">
        <v>16</v>
      </c>
      <c r="H108" s="57" t="n"/>
      <c r="I108" s="124" t="n"/>
      <c r="J108" s="147" t="n"/>
    </row>
    <row r="109" ht="16.5" customHeight="1" s="125">
      <c r="A109" s="58" t="n"/>
      <c r="B109" s="129">
        <f>B102+1</f>
        <v/>
      </c>
      <c r="C109" s="160">
        <f>C110-1</f>
        <v/>
      </c>
      <c r="D109" s="161">
        <f>C109</f>
        <v/>
      </c>
      <c r="E109" s="31" t="inlineStr">
        <is>
          <t>輕鬆有氧</t>
        </is>
      </c>
      <c r="F109" s="39" t="inlineStr">
        <is>
          <t>8k Easy</t>
        </is>
      </c>
      <c r="G109" s="32" t="n">
        <v>8</v>
      </c>
      <c r="H109" s="59" t="n"/>
      <c r="I109" s="122">
        <f>SUM(G109:G115)</f>
        <v/>
      </c>
      <c r="J109" s="147" t="n"/>
    </row>
    <row r="110" ht="16.5" customHeight="1" s="125">
      <c r="A110" s="45" t="n"/>
      <c r="B110" s="130" t="n"/>
      <c r="C110" s="152">
        <f>C111-1</f>
        <v/>
      </c>
      <c r="D110" s="153">
        <f>C110</f>
        <v/>
      </c>
      <c r="E110" s="12" t="inlineStr">
        <is>
          <t>強化跑</t>
        </is>
      </c>
      <c r="F110" s="14" t="inlineStr">
        <is>
          <t>2k WU+4x(2000m@10k pace+800m jog rest)+2k CD</t>
        </is>
      </c>
      <c r="G110" s="15" t="n">
        <v>15.2</v>
      </c>
      <c r="H110" s="46" t="n"/>
      <c r="I110" s="123" t="n"/>
      <c r="J110" s="147" t="n"/>
    </row>
    <row r="111" ht="16.5" customHeight="1" s="125">
      <c r="A111" s="45" t="n"/>
      <c r="B111" s="130" t="n"/>
      <c r="C111" s="152">
        <f>C112-1</f>
        <v/>
      </c>
      <c r="D111" s="153">
        <f>C111</f>
        <v/>
      </c>
      <c r="E111" s="9" t="inlineStr">
        <is>
          <t>休息日</t>
        </is>
      </c>
      <c r="F111" s="37" t="n"/>
      <c r="G111" s="38" t="n"/>
      <c r="H111" s="46" t="n"/>
      <c r="I111" s="123" t="n"/>
      <c r="J111" s="147" t="n"/>
    </row>
    <row r="112" ht="16.5" customHeight="1" s="125">
      <c r="A112" s="45" t="n"/>
      <c r="B112" s="130" t="n"/>
      <c r="C112" s="152">
        <f>C113-1</f>
        <v/>
      </c>
      <c r="D112" s="153">
        <f>C112</f>
        <v/>
      </c>
      <c r="E112" s="11" t="inlineStr">
        <is>
          <t>節奏跑</t>
        </is>
      </c>
      <c r="F112" s="14" t="inlineStr">
        <is>
          <t>2k WU+11k Tempo@HMP+2k CD</t>
        </is>
      </c>
      <c r="G112" s="15" t="n">
        <v>15</v>
      </c>
      <c r="H112" s="46" t="n"/>
      <c r="I112" s="123" t="n"/>
      <c r="J112" s="147" t="n"/>
    </row>
    <row r="113" ht="16.5" customHeight="1" s="125">
      <c r="A113" s="45" t="n"/>
      <c r="B113" s="130" t="n"/>
      <c r="C113" s="152">
        <f>C114-1</f>
        <v/>
      </c>
      <c r="D113" s="153">
        <f>C113</f>
        <v/>
      </c>
      <c r="E113" s="10" t="inlineStr">
        <is>
          <t>輕鬆有氧</t>
        </is>
      </c>
      <c r="F113" s="14" t="inlineStr">
        <is>
          <t>8k Easy</t>
        </is>
      </c>
      <c r="G113" s="15" t="n">
        <v>8</v>
      </c>
      <c r="H113" s="46" t="n"/>
      <c r="I113" s="123" t="n"/>
      <c r="J113" s="147" t="n"/>
    </row>
    <row r="114" ht="16.5" customHeight="1" s="125">
      <c r="A114" s="45" t="n"/>
      <c r="B114" s="130" t="n"/>
      <c r="C114" s="152">
        <f>C115-1</f>
        <v/>
      </c>
      <c r="D114" s="156">
        <f>C114</f>
        <v/>
      </c>
      <c r="E114" s="10" t="inlineStr">
        <is>
          <t>輕鬆有氧</t>
        </is>
      </c>
      <c r="F114" s="14" t="inlineStr">
        <is>
          <t>10k Easy</t>
        </is>
      </c>
      <c r="G114" s="15" t="n">
        <v>10</v>
      </c>
      <c r="H114" s="46" t="n"/>
      <c r="I114" s="123" t="n"/>
      <c r="J114" s="147" t="n"/>
    </row>
    <row r="115" ht="16.5" customHeight="1" s="125">
      <c r="A115" s="56" t="n"/>
      <c r="B115" s="131" t="n"/>
      <c r="C115" s="158">
        <f>C116-1</f>
        <v/>
      </c>
      <c r="D115" s="159">
        <f>C115</f>
        <v/>
      </c>
      <c r="E115" s="40" t="inlineStr">
        <is>
          <t>長跑</t>
        </is>
      </c>
      <c r="F115" s="27" t="inlineStr">
        <is>
          <t>23k Long run</t>
        </is>
      </c>
      <c r="G115" s="28" t="n">
        <v>23</v>
      </c>
      <c r="H115" s="57" t="n"/>
      <c r="I115" s="124" t="n"/>
      <c r="J115" s="147" t="n"/>
    </row>
    <row r="116" ht="16.5" customHeight="1" s="125">
      <c r="A116" s="58" t="n"/>
      <c r="B116" s="129">
        <f>B109+1</f>
        <v/>
      </c>
      <c r="C116" s="160">
        <f>C117-1</f>
        <v/>
      </c>
      <c r="D116" s="161">
        <f>C116</f>
        <v/>
      </c>
      <c r="E116" s="31" t="inlineStr">
        <is>
          <t>輕鬆有氧</t>
        </is>
      </c>
      <c r="F116" s="39" t="inlineStr">
        <is>
          <t>11k Easy</t>
        </is>
      </c>
      <c r="G116" s="32" t="n">
        <v>11</v>
      </c>
      <c r="H116" s="59" t="n"/>
      <c r="I116" s="122">
        <f>SUM(G116:G122)</f>
        <v/>
      </c>
      <c r="J116" s="147" t="n"/>
    </row>
    <row r="117" ht="16.5" customHeight="1" s="125">
      <c r="A117" s="45" t="n"/>
      <c r="B117" s="130" t="n"/>
      <c r="C117" s="152">
        <f>C118-1</f>
        <v/>
      </c>
      <c r="D117" s="153">
        <f>C117</f>
        <v/>
      </c>
      <c r="E117" s="12" t="inlineStr">
        <is>
          <t>強化跑</t>
        </is>
      </c>
      <c r="F117" s="14" t="inlineStr">
        <is>
          <t>2k WU+6x(2000m@10k pace+400m jog rest)+2k CD</t>
        </is>
      </c>
      <c r="G117" s="15" t="n">
        <v>18.4</v>
      </c>
      <c r="H117" s="46" t="n"/>
      <c r="I117" s="123" t="n"/>
      <c r="J117" s="147" t="n"/>
    </row>
    <row r="118" ht="16.5" customHeight="1" s="125">
      <c r="A118" s="45" t="n"/>
      <c r="B118" s="130" t="n"/>
      <c r="C118" s="152">
        <f>C119-1</f>
        <v/>
      </c>
      <c r="D118" s="153">
        <f>C118</f>
        <v/>
      </c>
      <c r="E118" s="9" t="inlineStr">
        <is>
          <t>休息日</t>
        </is>
      </c>
      <c r="F118" s="37" t="n"/>
      <c r="G118" s="38" t="n"/>
      <c r="H118" s="46" t="n"/>
      <c r="I118" s="123" t="n"/>
      <c r="J118" s="147" t="n"/>
    </row>
    <row r="119" ht="16.5" customHeight="1" s="125">
      <c r="A119" s="45" t="n"/>
      <c r="B119" s="130" t="n"/>
      <c r="C119" s="152">
        <f>C120-1</f>
        <v/>
      </c>
      <c r="D119" s="153">
        <f>C119</f>
        <v/>
      </c>
      <c r="E119" s="11" t="inlineStr">
        <is>
          <t>節奏跑</t>
        </is>
      </c>
      <c r="F119" s="14" t="inlineStr">
        <is>
          <t>2k WU+8k Tempo@HMP+2k CD</t>
        </is>
      </c>
      <c r="G119" s="15" t="n">
        <v>12</v>
      </c>
      <c r="H119" s="46" t="n"/>
      <c r="I119" s="123" t="n"/>
      <c r="J119" s="147" t="n"/>
    </row>
    <row r="120" ht="16.5" customHeight="1" s="125">
      <c r="A120" s="45" t="n"/>
      <c r="B120" s="130" t="n"/>
      <c r="C120" s="152">
        <f>C121-1</f>
        <v/>
      </c>
      <c r="D120" s="153">
        <f>C120</f>
        <v/>
      </c>
      <c r="E120" s="10" t="inlineStr">
        <is>
          <t>輕鬆有氧</t>
        </is>
      </c>
      <c r="F120" s="14" t="inlineStr">
        <is>
          <t>10k Easy</t>
        </is>
      </c>
      <c r="G120" s="15" t="n">
        <v>10</v>
      </c>
      <c r="H120" s="46" t="n"/>
      <c r="I120" s="123" t="n"/>
      <c r="J120" s="147" t="n"/>
    </row>
    <row r="121" ht="16.5" customHeight="1" s="125">
      <c r="A121" s="45" t="n"/>
      <c r="B121" s="130" t="n"/>
      <c r="C121" s="152">
        <f>C122-1</f>
        <v/>
      </c>
      <c r="D121" s="156">
        <f>C121</f>
        <v/>
      </c>
      <c r="E121" s="10" t="inlineStr">
        <is>
          <t>輕鬆有氧</t>
        </is>
      </c>
      <c r="F121" s="14" t="inlineStr">
        <is>
          <t>8k Easy</t>
        </is>
      </c>
      <c r="G121" s="15" t="n">
        <v>8</v>
      </c>
      <c r="H121" s="46" t="n"/>
      <c r="I121" s="123" t="n"/>
      <c r="J121" s="147" t="n"/>
    </row>
    <row r="122" ht="16.5" customHeight="1" s="125">
      <c r="A122" s="56" t="n"/>
      <c r="B122" s="131" t="n"/>
      <c r="C122" s="158">
        <f>C123-1</f>
        <v/>
      </c>
      <c r="D122" s="159">
        <f>C122</f>
        <v/>
      </c>
      <c r="E122" s="26" t="inlineStr">
        <is>
          <t>輕鬆有氧</t>
        </is>
      </c>
      <c r="F122" s="27" t="inlineStr">
        <is>
          <t>13k Easy</t>
        </is>
      </c>
      <c r="G122" s="28" t="n">
        <v>13</v>
      </c>
      <c r="H122" s="57" t="n"/>
      <c r="I122" s="124" t="n"/>
      <c r="J122" s="147" t="n"/>
    </row>
    <row r="123" ht="16.5" customHeight="1" s="125">
      <c r="A123" s="58" t="n"/>
      <c r="B123" s="129">
        <f>B116+1</f>
        <v/>
      </c>
      <c r="C123" s="160">
        <f>C124-1</f>
        <v/>
      </c>
      <c r="D123" s="161">
        <f>C123</f>
        <v/>
      </c>
      <c r="E123" s="31" t="inlineStr">
        <is>
          <t>輕鬆有氧</t>
        </is>
      </c>
      <c r="F123" s="39" t="inlineStr">
        <is>
          <t>8k Easy</t>
        </is>
      </c>
      <c r="G123" s="32" t="n">
        <v>8</v>
      </c>
      <c r="H123" s="59" t="n"/>
      <c r="I123" s="122">
        <f>SUM(G123:G129)</f>
        <v/>
      </c>
      <c r="J123" s="147" t="n"/>
    </row>
    <row r="124" ht="16.5" customHeight="1" s="125">
      <c r="A124" s="45" t="n"/>
      <c r="B124" s="130" t="n"/>
      <c r="C124" s="152">
        <f>C125-1</f>
        <v/>
      </c>
      <c r="D124" s="153">
        <f>C124</f>
        <v/>
      </c>
      <c r="E124" s="10" t="inlineStr">
        <is>
          <t>輕鬆有氧</t>
        </is>
      </c>
      <c r="F124" s="14" t="inlineStr">
        <is>
          <t>8k Easy</t>
        </is>
      </c>
      <c r="G124" s="15" t="n">
        <v>8</v>
      </c>
      <c r="H124" s="46" t="n"/>
      <c r="I124" s="123" t="n"/>
      <c r="J124" s="147" t="n"/>
    </row>
    <row r="125" ht="16.5" customHeight="1" s="125">
      <c r="A125" s="45" t="n"/>
      <c r="B125" s="130" t="n"/>
      <c r="C125" s="152">
        <f>C126-1</f>
        <v/>
      </c>
      <c r="D125" s="153">
        <f>C125</f>
        <v/>
      </c>
      <c r="E125" s="9" t="inlineStr">
        <is>
          <t>休息日</t>
        </is>
      </c>
      <c r="F125" s="37" t="n"/>
      <c r="G125" s="38" t="n"/>
      <c r="H125" s="46" t="n"/>
      <c r="I125" s="123" t="n"/>
      <c r="J125" s="147" t="n"/>
    </row>
    <row r="126" ht="16.5" customHeight="1" s="125">
      <c r="A126" s="45" t="n"/>
      <c r="B126" s="130" t="n"/>
      <c r="C126" s="152">
        <f>C127-1</f>
        <v/>
      </c>
      <c r="D126" s="153">
        <f>C126</f>
        <v/>
      </c>
      <c r="E126" s="10" t="inlineStr">
        <is>
          <t>輕鬆有氧</t>
        </is>
      </c>
      <c r="F126" s="14" t="inlineStr">
        <is>
          <t>10k Easy</t>
        </is>
      </c>
      <c r="G126" s="15" t="n">
        <v>10</v>
      </c>
      <c r="H126" s="46" t="n"/>
      <c r="I126" s="123" t="n"/>
      <c r="J126" s="147" t="n"/>
    </row>
    <row r="127" ht="16.5" customHeight="1" s="125">
      <c r="A127" s="45" t="n"/>
      <c r="B127" s="130" t="n"/>
      <c r="C127" s="152">
        <f>C128-1</f>
        <v/>
      </c>
      <c r="D127" s="153">
        <f>C127</f>
        <v/>
      </c>
      <c r="E127" s="10" t="inlineStr">
        <is>
          <t>輕鬆有氧</t>
        </is>
      </c>
      <c r="F127" s="14" t="inlineStr">
        <is>
          <t>8k Easy</t>
        </is>
      </c>
      <c r="G127" s="15" t="n">
        <v>8</v>
      </c>
      <c r="H127" s="46" t="n"/>
      <c r="I127" s="123" t="n"/>
      <c r="J127" s="147" t="n"/>
    </row>
    <row r="128" ht="16.5" customHeight="1" s="125">
      <c r="A128" s="45" t="n"/>
      <c r="B128" s="130" t="n"/>
      <c r="C128" s="152">
        <f>C129-1</f>
        <v/>
      </c>
      <c r="D128" s="156">
        <f>C128</f>
        <v/>
      </c>
      <c r="E128" s="10" t="inlineStr">
        <is>
          <t>輕鬆有氧</t>
        </is>
      </c>
      <c r="F128" s="14" t="inlineStr">
        <is>
          <t>5k Shakeout</t>
        </is>
      </c>
      <c r="G128" s="15" t="n">
        <v>5</v>
      </c>
      <c r="H128" s="46" t="n"/>
      <c r="I128" s="123" t="n"/>
      <c r="J128" s="147" t="n"/>
    </row>
    <row r="129" ht="16.5" customHeight="1" s="125">
      <c r="A129" s="56" t="n"/>
      <c r="B129" s="131" t="n"/>
      <c r="C129" s="158">
        <f>C2</f>
        <v/>
      </c>
      <c r="D129" s="159">
        <f>C129</f>
        <v/>
      </c>
      <c r="E129" s="117" t="n"/>
      <c r="F129" s="41" t="inlineStr">
        <is>
          <t>Race Day!</t>
        </is>
      </c>
      <c r="G129" s="28" t="n">
        <v>21.1</v>
      </c>
      <c r="H129" s="57" t="n"/>
      <c r="I129" s="124" t="n"/>
      <c r="J129" s="147" t="n"/>
    </row>
    <row r="130" ht="12.75" customHeight="1" s="125">
      <c r="A130" s="147" t="n"/>
      <c r="B130" s="148" t="n"/>
      <c r="C130" s="147" t="n"/>
      <c r="D130" s="147" t="n"/>
      <c r="E130" s="147" t="n"/>
      <c r="F130" s="147" t="n"/>
      <c r="G130" s="149" t="n"/>
      <c r="H130" s="147" t="n"/>
      <c r="I130" s="147" t="n"/>
      <c r="J130" s="147" t="n"/>
    </row>
    <row r="131" ht="12.75" customHeight="1" s="125">
      <c r="B131" s="42" t="n"/>
      <c r="G131" s="43" t="n"/>
    </row>
    <row r="132" ht="12.75" customHeight="1" s="125">
      <c r="B132" s="42" t="n"/>
      <c r="G132" s="43" t="n"/>
    </row>
    <row r="133" ht="12.75" customHeight="1" s="125">
      <c r="B133" s="42" t="n"/>
      <c r="G133" s="43" t="n"/>
    </row>
    <row r="134" ht="12.75" customHeight="1" s="125">
      <c r="B134" s="42" t="n"/>
      <c r="G134" s="43" t="n"/>
    </row>
    <row r="135" ht="12.75" customHeight="1" s="125">
      <c r="B135" s="42" t="n"/>
      <c r="G135" s="43" t="n"/>
    </row>
    <row r="136" ht="12.75" customHeight="1" s="125">
      <c r="B136" s="42" t="n"/>
      <c r="G136" s="43" t="n"/>
    </row>
    <row r="137" ht="12.75" customHeight="1" s="125">
      <c r="B137" s="42" t="n"/>
      <c r="G137" s="43" t="n"/>
    </row>
    <row r="138" ht="12.75" customHeight="1" s="125">
      <c r="B138" s="42" t="n"/>
      <c r="G138" s="43" t="n"/>
    </row>
    <row r="139" ht="12.75" customHeight="1" s="125">
      <c r="B139" s="42" t="n"/>
      <c r="G139" s="43" t="n"/>
    </row>
    <row r="140" ht="12.75" customHeight="1" s="125">
      <c r="B140" s="42" t="n"/>
      <c r="G140" s="43" t="n"/>
    </row>
    <row r="141" ht="12.75" customHeight="1" s="125">
      <c r="B141" s="42" t="n"/>
      <c r="G141" s="43" t="n"/>
    </row>
    <row r="142" ht="12.75" customHeight="1" s="125">
      <c r="B142" s="42" t="n"/>
      <c r="G142" s="43" t="n"/>
    </row>
    <row r="143" ht="12.75" customHeight="1" s="125">
      <c r="B143" s="42" t="n"/>
      <c r="G143" s="43" t="n"/>
    </row>
    <row r="144" ht="12.75" customHeight="1" s="125">
      <c r="B144" s="42" t="n"/>
      <c r="G144" s="43" t="n"/>
    </row>
    <row r="145" ht="12.75" customHeight="1" s="125">
      <c r="B145" s="42" t="n"/>
      <c r="G145" s="43" t="n"/>
    </row>
    <row r="146" ht="12.75" customHeight="1" s="125">
      <c r="B146" s="42" t="n"/>
      <c r="G146" s="43" t="n"/>
    </row>
    <row r="147" ht="12.75" customHeight="1" s="125">
      <c r="B147" s="42" t="n"/>
      <c r="G147" s="43" t="n"/>
    </row>
    <row r="148" ht="12.75" customHeight="1" s="125">
      <c r="B148" s="42" t="n"/>
      <c r="G148" s="43" t="n"/>
    </row>
    <row r="149" ht="12.75" customHeight="1" s="125">
      <c r="B149" s="42" t="n"/>
      <c r="G149" s="43" t="n"/>
    </row>
    <row r="150" ht="12.75" customHeight="1" s="125">
      <c r="B150" s="42" t="n"/>
      <c r="G150" s="43" t="n"/>
    </row>
    <row r="151" ht="12.75" customHeight="1" s="125">
      <c r="B151" s="42" t="n"/>
      <c r="G151" s="43" t="n"/>
    </row>
    <row r="152" ht="12.75" customHeight="1" s="125">
      <c r="B152" s="42" t="n"/>
      <c r="G152" s="43" t="n"/>
    </row>
    <row r="153" ht="12.75" customHeight="1" s="125">
      <c r="B153" s="42" t="n"/>
      <c r="G153" s="43" t="n"/>
    </row>
    <row r="154" ht="12.75" customHeight="1" s="125">
      <c r="B154" s="42" t="n"/>
      <c r="G154" s="43" t="n"/>
    </row>
    <row r="155" ht="12.75" customHeight="1" s="125">
      <c r="B155" s="42" t="n"/>
      <c r="G155" s="43" t="n"/>
    </row>
    <row r="156" ht="12.75" customHeight="1" s="125">
      <c r="B156" s="42" t="n"/>
      <c r="G156" s="43" t="n"/>
    </row>
    <row r="157" ht="12.75" customHeight="1" s="125">
      <c r="B157" s="42" t="n"/>
      <c r="G157" s="43" t="n"/>
    </row>
    <row r="158" ht="12.75" customHeight="1" s="125">
      <c r="B158" s="42" t="n"/>
      <c r="G158" s="43" t="n"/>
    </row>
    <row r="159" ht="12.75" customHeight="1" s="125">
      <c r="B159" s="42" t="n"/>
      <c r="G159" s="43" t="n"/>
    </row>
    <row r="160" ht="12.75" customHeight="1" s="125">
      <c r="B160" s="42" t="n"/>
      <c r="G160" s="43" t="n"/>
    </row>
    <row r="161" ht="12.75" customHeight="1" s="125">
      <c r="B161" s="42" t="n"/>
      <c r="G161" s="43" t="n"/>
    </row>
    <row r="162" ht="12.75" customHeight="1" s="125">
      <c r="B162" s="42" t="n"/>
      <c r="G162" s="43" t="n"/>
    </row>
    <row r="163" ht="12.75" customHeight="1" s="125">
      <c r="B163" s="42" t="n"/>
      <c r="G163" s="43" t="n"/>
    </row>
    <row r="164" ht="12.75" customHeight="1" s="125">
      <c r="B164" s="42" t="n"/>
      <c r="G164" s="43" t="n"/>
    </row>
    <row r="165" ht="12.75" customHeight="1" s="125">
      <c r="B165" s="42" t="n"/>
      <c r="G165" s="43" t="n"/>
    </row>
    <row r="166" ht="12.75" customHeight="1" s="125">
      <c r="B166" s="42" t="n"/>
      <c r="G166" s="43" t="n"/>
    </row>
    <row r="167" ht="12.75" customHeight="1" s="125">
      <c r="B167" s="42" t="n"/>
      <c r="G167" s="43" t="n"/>
    </row>
    <row r="168" ht="12.75" customHeight="1" s="125">
      <c r="B168" s="42" t="n"/>
      <c r="G168" s="43" t="n"/>
    </row>
    <row r="169" ht="12.75" customHeight="1" s="125">
      <c r="B169" s="42" t="n"/>
      <c r="G169" s="43" t="n"/>
    </row>
    <row r="170" ht="12.75" customHeight="1" s="125">
      <c r="B170" s="42" t="n"/>
      <c r="G170" s="43" t="n"/>
    </row>
    <row r="171" ht="12.75" customHeight="1" s="125">
      <c r="B171" s="42" t="n"/>
      <c r="G171" s="43" t="n"/>
    </row>
    <row r="172" ht="12.75" customHeight="1" s="125">
      <c r="B172" s="42" t="n"/>
      <c r="G172" s="43" t="n"/>
    </row>
    <row r="173" ht="12.75" customHeight="1" s="125">
      <c r="B173" s="42" t="n"/>
      <c r="G173" s="43" t="n"/>
    </row>
    <row r="174" ht="12.75" customHeight="1" s="125">
      <c r="B174" s="42" t="n"/>
      <c r="G174" s="43" t="n"/>
    </row>
    <row r="175" ht="12.75" customHeight="1" s="125">
      <c r="B175" s="42" t="n"/>
      <c r="G175" s="43" t="n"/>
    </row>
    <row r="176" ht="12.75" customHeight="1" s="125">
      <c r="B176" s="42" t="n"/>
      <c r="G176" s="43" t="n"/>
    </row>
    <row r="177" ht="12.75" customHeight="1" s="125">
      <c r="B177" s="42" t="n"/>
      <c r="G177" s="43" t="n"/>
    </row>
    <row r="178" ht="12.75" customHeight="1" s="125">
      <c r="B178" s="42" t="n"/>
      <c r="G178" s="43" t="n"/>
    </row>
    <row r="179" ht="12.75" customHeight="1" s="125">
      <c r="B179" s="42" t="n"/>
      <c r="G179" s="43" t="n"/>
    </row>
    <row r="180" ht="12.75" customHeight="1" s="125">
      <c r="B180" s="42" t="n"/>
      <c r="G180" s="43" t="n"/>
    </row>
    <row r="181" ht="12.75" customHeight="1" s="125">
      <c r="B181" s="42" t="n"/>
      <c r="G181" s="43" t="n"/>
    </row>
    <row r="182" ht="12.75" customHeight="1" s="125">
      <c r="B182" s="42" t="n"/>
      <c r="G182" s="43" t="n"/>
    </row>
    <row r="183" ht="12.75" customHeight="1" s="125">
      <c r="B183" s="42" t="n"/>
      <c r="G183" s="43" t="n"/>
    </row>
    <row r="184" ht="12.75" customHeight="1" s="125">
      <c r="B184" s="42" t="n"/>
      <c r="G184" s="43" t="n"/>
    </row>
    <row r="185" ht="12.75" customHeight="1" s="125">
      <c r="B185" s="42" t="n"/>
      <c r="G185" s="43" t="n"/>
    </row>
    <row r="186" ht="12.75" customHeight="1" s="125">
      <c r="B186" s="42" t="n"/>
      <c r="G186" s="43" t="n"/>
    </row>
    <row r="187" ht="12.75" customHeight="1" s="125">
      <c r="B187" s="42" t="n"/>
      <c r="G187" s="43" t="n"/>
    </row>
    <row r="188" ht="12.75" customHeight="1" s="125">
      <c r="B188" s="42" t="n"/>
      <c r="G188" s="43" t="n"/>
    </row>
    <row r="189" ht="12.75" customHeight="1" s="125">
      <c r="B189" s="42" t="n"/>
      <c r="G189" s="43" t="n"/>
    </row>
    <row r="190" ht="12.75" customHeight="1" s="125">
      <c r="B190" s="42" t="n"/>
      <c r="G190" s="43" t="n"/>
    </row>
    <row r="191" ht="12.75" customHeight="1" s="125">
      <c r="B191" s="42" t="n"/>
      <c r="G191" s="43" t="n"/>
    </row>
    <row r="192" ht="12.75" customHeight="1" s="125">
      <c r="B192" s="42" t="n"/>
      <c r="G192" s="43" t="n"/>
    </row>
    <row r="193" ht="12.75" customHeight="1" s="125">
      <c r="B193" s="42" t="n"/>
      <c r="G193" s="43" t="n"/>
    </row>
    <row r="194" ht="12.75" customHeight="1" s="125">
      <c r="B194" s="42" t="n"/>
      <c r="G194" s="43" t="n"/>
    </row>
    <row r="195" ht="12.75" customHeight="1" s="125">
      <c r="B195" s="42" t="n"/>
      <c r="G195" s="43" t="n"/>
    </row>
    <row r="196" ht="12.75" customHeight="1" s="125">
      <c r="B196" s="42" t="n"/>
      <c r="G196" s="43" t="n"/>
    </row>
    <row r="197" ht="12.75" customHeight="1" s="125">
      <c r="B197" s="42" t="n"/>
      <c r="G197" s="43" t="n"/>
    </row>
    <row r="198" ht="12.75" customHeight="1" s="125">
      <c r="B198" s="42" t="n"/>
      <c r="G198" s="43" t="n"/>
    </row>
    <row r="199" ht="12.75" customHeight="1" s="125">
      <c r="B199" s="42" t="n"/>
      <c r="G199" s="43" t="n"/>
    </row>
    <row r="200" ht="12.75" customHeight="1" s="125">
      <c r="B200" s="42" t="n"/>
      <c r="G200" s="43" t="n"/>
    </row>
    <row r="201" ht="12.75" customHeight="1" s="125">
      <c r="B201" s="42" t="n"/>
      <c r="G201" s="43" t="n"/>
    </row>
    <row r="202" ht="12.75" customHeight="1" s="125">
      <c r="B202" s="42" t="n"/>
      <c r="G202" s="43" t="n"/>
    </row>
    <row r="203" ht="12.75" customHeight="1" s="125">
      <c r="B203" s="42" t="n"/>
      <c r="G203" s="43" t="n"/>
    </row>
    <row r="204" ht="12.75" customHeight="1" s="125">
      <c r="B204" s="42" t="n"/>
      <c r="G204" s="43" t="n"/>
    </row>
    <row r="205" ht="12.75" customHeight="1" s="125">
      <c r="B205" s="42" t="n"/>
      <c r="G205" s="43" t="n"/>
    </row>
    <row r="206" ht="12.75" customHeight="1" s="125">
      <c r="B206" s="42" t="n"/>
      <c r="G206" s="43" t="n"/>
    </row>
    <row r="207" ht="12.75" customHeight="1" s="125">
      <c r="B207" s="42" t="n"/>
      <c r="G207" s="43" t="n"/>
    </row>
    <row r="208" ht="12.75" customHeight="1" s="125">
      <c r="B208" s="42" t="n"/>
      <c r="G208" s="43" t="n"/>
    </row>
    <row r="209" ht="12.75" customHeight="1" s="125">
      <c r="B209" s="42" t="n"/>
      <c r="G209" s="43" t="n"/>
    </row>
    <row r="210" ht="12.75" customHeight="1" s="125">
      <c r="B210" s="42" t="n"/>
      <c r="G210" s="43" t="n"/>
    </row>
    <row r="211" ht="12.75" customHeight="1" s="125">
      <c r="B211" s="42" t="n"/>
      <c r="G211" s="43" t="n"/>
    </row>
    <row r="212" ht="12.75" customHeight="1" s="125">
      <c r="B212" s="42" t="n"/>
      <c r="G212" s="43" t="n"/>
    </row>
    <row r="213" ht="12.75" customHeight="1" s="125">
      <c r="B213" s="42" t="n"/>
      <c r="G213" s="43" t="n"/>
    </row>
    <row r="214" ht="12.75" customHeight="1" s="125">
      <c r="B214" s="42" t="n"/>
      <c r="G214" s="43" t="n"/>
    </row>
    <row r="215" ht="12.75" customHeight="1" s="125">
      <c r="B215" s="42" t="n"/>
      <c r="G215" s="43" t="n"/>
    </row>
    <row r="216" ht="12.75" customHeight="1" s="125">
      <c r="B216" s="42" t="n"/>
      <c r="G216" s="43" t="n"/>
    </row>
    <row r="217" ht="12.75" customHeight="1" s="125">
      <c r="B217" s="42" t="n"/>
      <c r="G217" s="43" t="n"/>
    </row>
    <row r="218" ht="12.75" customHeight="1" s="125">
      <c r="B218" s="42" t="n"/>
      <c r="G218" s="43" t="n"/>
    </row>
    <row r="219" ht="12.75" customHeight="1" s="125">
      <c r="B219" s="42" t="n"/>
      <c r="G219" s="43" t="n"/>
    </row>
    <row r="220" ht="12.75" customHeight="1" s="125">
      <c r="B220" s="42" t="n"/>
      <c r="G220" s="43" t="n"/>
    </row>
    <row r="221" ht="12.75" customHeight="1" s="125">
      <c r="B221" s="42" t="n"/>
      <c r="G221" s="43" t="n"/>
    </row>
    <row r="222" ht="12.75" customHeight="1" s="125">
      <c r="B222" s="42" t="n"/>
      <c r="G222" s="43" t="n"/>
    </row>
    <row r="223" ht="12.75" customHeight="1" s="125">
      <c r="B223" s="42" t="n"/>
      <c r="G223" s="43" t="n"/>
    </row>
    <row r="224" ht="12.75" customHeight="1" s="125">
      <c r="B224" s="42" t="n"/>
      <c r="G224" s="43" t="n"/>
    </row>
    <row r="225" ht="12.75" customHeight="1" s="125">
      <c r="B225" s="42" t="n"/>
      <c r="G225" s="43" t="n"/>
    </row>
    <row r="226" ht="12.75" customHeight="1" s="125">
      <c r="B226" s="42" t="n"/>
      <c r="G226" s="43" t="n"/>
    </row>
    <row r="227" ht="12.75" customHeight="1" s="125">
      <c r="B227" s="42" t="n"/>
      <c r="G227" s="43" t="n"/>
    </row>
    <row r="228" ht="12.75" customHeight="1" s="125">
      <c r="B228" s="42" t="n"/>
      <c r="G228" s="43" t="n"/>
    </row>
    <row r="229" ht="12.75" customHeight="1" s="125">
      <c r="B229" s="42" t="n"/>
      <c r="G229" s="43" t="n"/>
    </row>
    <row r="230" ht="12.75" customHeight="1" s="125">
      <c r="B230" s="42" t="n"/>
      <c r="G230" s="43" t="n"/>
    </row>
    <row r="231" ht="12.75" customHeight="1" s="125">
      <c r="B231" s="42" t="n"/>
      <c r="G231" s="43" t="n"/>
    </row>
    <row r="232" ht="12.75" customHeight="1" s="125">
      <c r="B232" s="42" t="n"/>
      <c r="G232" s="43" t="n"/>
    </row>
    <row r="233" ht="12.75" customHeight="1" s="125">
      <c r="B233" s="42" t="n"/>
      <c r="G233" s="43" t="n"/>
    </row>
    <row r="234" ht="12.75" customHeight="1" s="125">
      <c r="B234" s="42" t="n"/>
      <c r="G234" s="43" t="n"/>
    </row>
    <row r="235" ht="12.75" customHeight="1" s="125">
      <c r="B235" s="42" t="n"/>
      <c r="G235" s="43" t="n"/>
    </row>
    <row r="236" ht="12.75" customHeight="1" s="125">
      <c r="B236" s="42" t="n"/>
      <c r="G236" s="43" t="n"/>
    </row>
    <row r="237" ht="12.75" customHeight="1" s="125">
      <c r="B237" s="42" t="n"/>
      <c r="G237" s="43" t="n"/>
    </row>
    <row r="238" ht="12.75" customHeight="1" s="125">
      <c r="B238" s="42" t="n"/>
      <c r="G238" s="43" t="n"/>
    </row>
    <row r="239" ht="12.75" customHeight="1" s="125">
      <c r="B239" s="42" t="n"/>
      <c r="G239" s="43" t="n"/>
    </row>
    <row r="240" ht="12.75" customHeight="1" s="125">
      <c r="B240" s="42" t="n"/>
      <c r="G240" s="43" t="n"/>
    </row>
    <row r="241" ht="12.75" customHeight="1" s="125">
      <c r="B241" s="42" t="n"/>
      <c r="G241" s="43" t="n"/>
    </row>
    <row r="242" ht="12.75" customHeight="1" s="125">
      <c r="B242" s="42" t="n"/>
      <c r="G242" s="43" t="n"/>
    </row>
    <row r="243" ht="12.75" customHeight="1" s="125">
      <c r="B243" s="42" t="n"/>
      <c r="G243" s="43" t="n"/>
    </row>
    <row r="244" ht="12.75" customHeight="1" s="125">
      <c r="B244" s="42" t="n"/>
      <c r="G244" s="43" t="n"/>
    </row>
    <row r="245" ht="12.75" customHeight="1" s="125">
      <c r="B245" s="42" t="n"/>
      <c r="G245" s="43" t="n"/>
    </row>
    <row r="246" ht="12.75" customHeight="1" s="125">
      <c r="B246" s="42" t="n"/>
      <c r="G246" s="43" t="n"/>
    </row>
    <row r="247" ht="12.75" customHeight="1" s="125">
      <c r="B247" s="42" t="n"/>
      <c r="G247" s="43" t="n"/>
    </row>
    <row r="248" ht="12.75" customHeight="1" s="125">
      <c r="B248" s="42" t="n"/>
      <c r="G248" s="43" t="n"/>
    </row>
    <row r="249" ht="12.75" customHeight="1" s="125">
      <c r="B249" s="42" t="n"/>
      <c r="G249" s="43" t="n"/>
    </row>
    <row r="250" ht="12.75" customHeight="1" s="125">
      <c r="B250" s="42" t="n"/>
      <c r="G250" s="43" t="n"/>
    </row>
    <row r="251" ht="12.75" customHeight="1" s="125">
      <c r="B251" s="42" t="n"/>
      <c r="G251" s="43" t="n"/>
    </row>
    <row r="252" ht="12.75" customHeight="1" s="125">
      <c r="B252" s="42" t="n"/>
      <c r="G252" s="43" t="n"/>
    </row>
    <row r="253" ht="12.75" customHeight="1" s="125">
      <c r="B253" s="42" t="n"/>
      <c r="G253" s="43" t="n"/>
    </row>
    <row r="254" ht="12.75" customHeight="1" s="125">
      <c r="B254" s="42" t="n"/>
      <c r="G254" s="43" t="n"/>
    </row>
    <row r="255" ht="12.75" customHeight="1" s="125">
      <c r="B255" s="42" t="n"/>
      <c r="G255" s="43" t="n"/>
    </row>
    <row r="256" ht="12.75" customHeight="1" s="125">
      <c r="B256" s="42" t="n"/>
      <c r="G256" s="43" t="n"/>
    </row>
    <row r="257" ht="12.75" customHeight="1" s="125">
      <c r="B257" s="42" t="n"/>
      <c r="G257" s="43" t="n"/>
    </row>
    <row r="258" ht="12.75" customHeight="1" s="125">
      <c r="B258" s="42" t="n"/>
      <c r="G258" s="43" t="n"/>
    </row>
    <row r="259" ht="12.75" customHeight="1" s="125">
      <c r="B259" s="42" t="n"/>
      <c r="G259" s="43" t="n"/>
    </row>
    <row r="260" ht="12.75" customHeight="1" s="125">
      <c r="B260" s="42" t="n"/>
      <c r="G260" s="43" t="n"/>
    </row>
    <row r="261" ht="12.75" customHeight="1" s="125">
      <c r="B261" s="42" t="n"/>
      <c r="G261" s="43" t="n"/>
    </row>
    <row r="262" ht="12.75" customHeight="1" s="125">
      <c r="B262" s="42" t="n"/>
      <c r="G262" s="43" t="n"/>
    </row>
    <row r="263" ht="12.75" customHeight="1" s="125">
      <c r="B263" s="42" t="n"/>
      <c r="G263" s="43" t="n"/>
    </row>
    <row r="264" ht="12.75" customHeight="1" s="125">
      <c r="B264" s="42" t="n"/>
      <c r="G264" s="43" t="n"/>
    </row>
    <row r="265" ht="12.75" customHeight="1" s="125">
      <c r="B265" s="42" t="n"/>
      <c r="G265" s="43" t="n"/>
    </row>
    <row r="266" ht="12.75" customHeight="1" s="125">
      <c r="B266" s="42" t="n"/>
      <c r="G266" s="43" t="n"/>
    </row>
    <row r="267" ht="12.75" customHeight="1" s="125">
      <c r="B267" s="42" t="n"/>
      <c r="G267" s="43" t="n"/>
    </row>
    <row r="268" ht="12.75" customHeight="1" s="125">
      <c r="B268" s="42" t="n"/>
      <c r="G268" s="43" t="n"/>
    </row>
    <row r="269" ht="12.75" customHeight="1" s="125">
      <c r="B269" s="42" t="n"/>
      <c r="G269" s="43" t="n"/>
    </row>
    <row r="270" ht="12.75" customHeight="1" s="125">
      <c r="B270" s="42" t="n"/>
      <c r="G270" s="43" t="n"/>
    </row>
    <row r="271" ht="12.75" customHeight="1" s="125">
      <c r="B271" s="42" t="n"/>
      <c r="G271" s="43" t="n"/>
    </row>
    <row r="272" ht="12.75" customHeight="1" s="125">
      <c r="B272" s="42" t="n"/>
      <c r="G272" s="43" t="n"/>
    </row>
    <row r="273" ht="12.75" customHeight="1" s="125">
      <c r="B273" s="42" t="n"/>
      <c r="G273" s="43" t="n"/>
    </row>
    <row r="274" ht="12.75" customHeight="1" s="125">
      <c r="B274" s="42" t="n"/>
      <c r="G274" s="43" t="n"/>
    </row>
    <row r="275" ht="12.75" customHeight="1" s="125">
      <c r="B275" s="42" t="n"/>
      <c r="G275" s="43" t="n"/>
    </row>
    <row r="276" ht="12.75" customHeight="1" s="125">
      <c r="B276" s="42" t="n"/>
      <c r="G276" s="43" t="n"/>
    </row>
    <row r="277" ht="12.75" customHeight="1" s="125">
      <c r="B277" s="42" t="n"/>
      <c r="G277" s="43" t="n"/>
    </row>
    <row r="278" ht="12.75" customHeight="1" s="125">
      <c r="B278" s="42" t="n"/>
      <c r="G278" s="43" t="n"/>
    </row>
    <row r="279" ht="12.75" customHeight="1" s="125">
      <c r="B279" s="42" t="n"/>
      <c r="G279" s="43" t="n"/>
    </row>
    <row r="280" ht="12.75" customHeight="1" s="125">
      <c r="B280" s="42" t="n"/>
      <c r="G280" s="43" t="n"/>
    </row>
    <row r="281" ht="12.75" customHeight="1" s="125">
      <c r="B281" s="42" t="n"/>
      <c r="G281" s="43" t="n"/>
    </row>
    <row r="282" ht="12.75" customHeight="1" s="125">
      <c r="B282" s="42" t="n"/>
      <c r="G282" s="43" t="n"/>
    </row>
    <row r="283" ht="12.75" customHeight="1" s="125">
      <c r="B283" s="42" t="n"/>
      <c r="G283" s="43" t="n"/>
    </row>
    <row r="284" ht="12.75" customHeight="1" s="125">
      <c r="B284" s="42" t="n"/>
      <c r="G284" s="43" t="n"/>
    </row>
    <row r="285" ht="12.75" customHeight="1" s="125">
      <c r="B285" s="42" t="n"/>
      <c r="G285" s="43" t="n"/>
    </row>
    <row r="286" ht="12.75" customHeight="1" s="125">
      <c r="B286" s="42" t="n"/>
      <c r="G286" s="43" t="n"/>
    </row>
    <row r="287" ht="12.75" customHeight="1" s="125">
      <c r="B287" s="42" t="n"/>
      <c r="G287" s="43" t="n"/>
    </row>
    <row r="288" ht="12.75" customHeight="1" s="125">
      <c r="B288" s="42" t="n"/>
      <c r="G288" s="43" t="n"/>
    </row>
    <row r="289" ht="12.75" customHeight="1" s="125">
      <c r="B289" s="42" t="n"/>
      <c r="G289" s="43" t="n"/>
    </row>
    <row r="290" ht="12.75" customHeight="1" s="125">
      <c r="B290" s="42" t="n"/>
      <c r="G290" s="43" t="n"/>
    </row>
    <row r="291" ht="12.75" customHeight="1" s="125">
      <c r="B291" s="42" t="n"/>
      <c r="G291" s="43" t="n"/>
    </row>
    <row r="292" ht="12.75" customHeight="1" s="125">
      <c r="B292" s="42" t="n"/>
      <c r="G292" s="43" t="n"/>
    </row>
    <row r="293" ht="12.75" customHeight="1" s="125">
      <c r="B293" s="42" t="n"/>
      <c r="G293" s="43" t="n"/>
    </row>
    <row r="294" ht="12.75" customHeight="1" s="125">
      <c r="B294" s="42" t="n"/>
      <c r="G294" s="43" t="n"/>
    </row>
    <row r="295" ht="12.75" customHeight="1" s="125">
      <c r="B295" s="42" t="n"/>
      <c r="G295" s="43" t="n"/>
    </row>
    <row r="296" ht="12.75" customHeight="1" s="125">
      <c r="B296" s="42" t="n"/>
      <c r="G296" s="43" t="n"/>
    </row>
    <row r="297" ht="12.75" customHeight="1" s="125">
      <c r="B297" s="42" t="n"/>
      <c r="G297" s="43" t="n"/>
    </row>
    <row r="298" ht="12.75" customHeight="1" s="125">
      <c r="B298" s="42" t="n"/>
      <c r="G298" s="43" t="n"/>
    </row>
    <row r="299" ht="12.75" customHeight="1" s="125">
      <c r="B299" s="42" t="n"/>
      <c r="G299" s="43" t="n"/>
    </row>
    <row r="300" ht="12.75" customHeight="1" s="125">
      <c r="B300" s="42" t="n"/>
      <c r="G300" s="43" t="n"/>
    </row>
    <row r="301" ht="12.75" customHeight="1" s="125">
      <c r="B301" s="42" t="n"/>
      <c r="G301" s="43" t="n"/>
    </row>
    <row r="302" ht="12.75" customHeight="1" s="125">
      <c r="B302" s="42" t="n"/>
      <c r="G302" s="43" t="n"/>
    </row>
    <row r="303" ht="12.75" customHeight="1" s="125">
      <c r="B303" s="42" t="n"/>
      <c r="G303" s="43" t="n"/>
    </row>
    <row r="304" ht="12.75" customHeight="1" s="125">
      <c r="B304" s="42" t="n"/>
      <c r="G304" s="43" t="n"/>
    </row>
    <row r="305" ht="12.75" customHeight="1" s="125">
      <c r="B305" s="42" t="n"/>
      <c r="G305" s="43" t="n"/>
    </row>
    <row r="306" ht="12.75" customHeight="1" s="125">
      <c r="B306" s="42" t="n"/>
      <c r="G306" s="43" t="n"/>
    </row>
    <row r="307" ht="12.75" customHeight="1" s="125">
      <c r="B307" s="42" t="n"/>
      <c r="G307" s="43" t="n"/>
    </row>
    <row r="308" ht="12.75" customHeight="1" s="125">
      <c r="B308" s="42" t="n"/>
      <c r="G308" s="43" t="n"/>
    </row>
    <row r="309" ht="12.75" customHeight="1" s="125">
      <c r="B309" s="42" t="n"/>
      <c r="G309" s="43" t="n"/>
    </row>
    <row r="310" ht="12.75" customHeight="1" s="125">
      <c r="B310" s="42" t="n"/>
      <c r="G310" s="43" t="n"/>
    </row>
    <row r="311" ht="12.75" customHeight="1" s="125">
      <c r="B311" s="42" t="n"/>
      <c r="G311" s="43" t="n"/>
    </row>
    <row r="312" ht="12.75" customHeight="1" s="125">
      <c r="B312" s="42" t="n"/>
      <c r="G312" s="43" t="n"/>
    </row>
    <row r="313" ht="12.75" customHeight="1" s="125">
      <c r="B313" s="42" t="n"/>
      <c r="G313" s="43" t="n"/>
    </row>
    <row r="314" ht="12.75" customHeight="1" s="125">
      <c r="B314" s="42" t="n"/>
      <c r="G314" s="43" t="n"/>
    </row>
    <row r="315" ht="12.75" customHeight="1" s="125">
      <c r="B315" s="42" t="n"/>
      <c r="G315" s="43" t="n"/>
    </row>
    <row r="316" ht="12.75" customHeight="1" s="125">
      <c r="B316" s="42" t="n"/>
      <c r="G316" s="43" t="n"/>
    </row>
    <row r="317" ht="12.75" customHeight="1" s="125">
      <c r="B317" s="42" t="n"/>
      <c r="G317" s="43" t="n"/>
    </row>
    <row r="318" ht="12.75" customHeight="1" s="125">
      <c r="B318" s="42" t="n"/>
      <c r="G318" s="43" t="n"/>
    </row>
    <row r="319" ht="12.75" customHeight="1" s="125">
      <c r="B319" s="42" t="n"/>
      <c r="G319" s="43" t="n"/>
    </row>
    <row r="320" ht="12.75" customHeight="1" s="125">
      <c r="B320" s="42" t="n"/>
      <c r="G320" s="43" t="n"/>
    </row>
    <row r="321" ht="12.75" customHeight="1" s="125">
      <c r="B321" s="42" t="n"/>
      <c r="G321" s="43" t="n"/>
    </row>
    <row r="322" ht="12.75" customHeight="1" s="125">
      <c r="B322" s="42" t="n"/>
      <c r="G322" s="43" t="n"/>
    </row>
    <row r="323" ht="12.75" customHeight="1" s="125">
      <c r="B323" s="42" t="n"/>
      <c r="G323" s="43" t="n"/>
    </row>
    <row r="324" ht="12.75" customHeight="1" s="125">
      <c r="B324" s="42" t="n"/>
      <c r="G324" s="43" t="n"/>
    </row>
    <row r="325" ht="12.75" customHeight="1" s="125">
      <c r="B325" s="42" t="n"/>
      <c r="G325" s="43" t="n"/>
    </row>
    <row r="326" ht="12.75" customHeight="1" s="125">
      <c r="B326" s="42" t="n"/>
      <c r="G326" s="43" t="n"/>
    </row>
    <row r="327" ht="12.75" customHeight="1" s="125">
      <c r="B327" s="42" t="n"/>
      <c r="G327" s="43" t="n"/>
    </row>
    <row r="328" ht="12.75" customHeight="1" s="125">
      <c r="B328" s="42" t="n"/>
      <c r="G328" s="43" t="n"/>
    </row>
    <row r="329" ht="12.75" customHeight="1" s="125">
      <c r="B329" s="42" t="n"/>
      <c r="G329" s="43" t="n"/>
    </row>
    <row r="330" ht="12.75" customHeight="1" s="125">
      <c r="B330" s="42" t="n"/>
      <c r="G330" s="43" t="n"/>
    </row>
    <row r="331" ht="12.75" customHeight="1" s="125">
      <c r="B331" s="42" t="n"/>
      <c r="G331" s="43" t="n"/>
    </row>
    <row r="332" ht="12.75" customHeight="1" s="125">
      <c r="B332" s="42" t="n"/>
      <c r="G332" s="43" t="n"/>
    </row>
    <row r="333" ht="12.75" customHeight="1" s="125">
      <c r="B333" s="42" t="n"/>
      <c r="G333" s="43" t="n"/>
    </row>
    <row r="334" ht="12.75" customHeight="1" s="125">
      <c r="B334" s="42" t="n"/>
      <c r="G334" s="43" t="n"/>
    </row>
    <row r="335" ht="12.75" customHeight="1" s="125">
      <c r="B335" s="42" t="n"/>
      <c r="G335" s="43" t="n"/>
    </row>
    <row r="336" ht="12.75" customHeight="1" s="125">
      <c r="B336" s="42" t="n"/>
      <c r="G336" s="43" t="n"/>
    </row>
    <row r="337" ht="12.75" customHeight="1" s="125">
      <c r="B337" s="42" t="n"/>
      <c r="G337" s="43" t="n"/>
    </row>
    <row r="338" ht="12.75" customHeight="1" s="125">
      <c r="B338" s="42" t="n"/>
      <c r="G338" s="43" t="n"/>
    </row>
    <row r="339" ht="12.75" customHeight="1" s="125">
      <c r="B339" s="42" t="n"/>
      <c r="G339" s="43" t="n"/>
    </row>
    <row r="340" ht="12.75" customHeight="1" s="125">
      <c r="B340" s="42" t="n"/>
      <c r="G340" s="43" t="n"/>
    </row>
    <row r="341" ht="12.75" customHeight="1" s="125">
      <c r="B341" s="42" t="n"/>
      <c r="G341" s="43" t="n"/>
    </row>
    <row r="342" ht="12.75" customHeight="1" s="125">
      <c r="B342" s="42" t="n"/>
      <c r="G342" s="43" t="n"/>
    </row>
    <row r="343" ht="12.75" customHeight="1" s="125">
      <c r="B343" s="42" t="n"/>
      <c r="G343" s="43" t="n"/>
    </row>
    <row r="344" ht="12.75" customHeight="1" s="125">
      <c r="B344" s="42" t="n"/>
      <c r="G344" s="43" t="n"/>
    </row>
    <row r="345" ht="12.75" customHeight="1" s="125">
      <c r="B345" s="42" t="n"/>
      <c r="G345" s="43" t="n"/>
    </row>
    <row r="346" ht="12.75" customHeight="1" s="125">
      <c r="B346" s="42" t="n"/>
      <c r="G346" s="43" t="n"/>
    </row>
    <row r="347" ht="12.75" customHeight="1" s="125">
      <c r="B347" s="42" t="n"/>
      <c r="G347" s="43" t="n"/>
    </row>
    <row r="348" ht="12.75" customHeight="1" s="125">
      <c r="B348" s="42" t="n"/>
      <c r="G348" s="43" t="n"/>
    </row>
    <row r="349" ht="12.75" customHeight="1" s="125">
      <c r="B349" s="42" t="n"/>
      <c r="G349" s="43" t="n"/>
    </row>
    <row r="350" ht="12.75" customHeight="1" s="125">
      <c r="B350" s="42" t="n"/>
      <c r="G350" s="43" t="n"/>
    </row>
    <row r="351" ht="12.75" customHeight="1" s="125">
      <c r="B351" s="42" t="n"/>
      <c r="G351" s="43" t="n"/>
    </row>
    <row r="352" ht="12.75" customHeight="1" s="125">
      <c r="B352" s="42" t="n"/>
      <c r="G352" s="43" t="n"/>
    </row>
    <row r="353" ht="12.75" customHeight="1" s="125">
      <c r="B353" s="42" t="n"/>
      <c r="G353" s="43" t="n"/>
    </row>
    <row r="354" ht="12.75" customHeight="1" s="125">
      <c r="B354" s="42" t="n"/>
      <c r="G354" s="43" t="n"/>
    </row>
    <row r="355" ht="12.75" customHeight="1" s="125">
      <c r="B355" s="42" t="n"/>
      <c r="G355" s="43" t="n"/>
    </row>
    <row r="356" ht="12.75" customHeight="1" s="125">
      <c r="B356" s="42" t="n"/>
      <c r="G356" s="43" t="n"/>
    </row>
    <row r="357" ht="12.75" customHeight="1" s="125">
      <c r="B357" s="42" t="n"/>
      <c r="G357" s="43" t="n"/>
    </row>
    <row r="358" ht="12.75" customHeight="1" s="125">
      <c r="B358" s="42" t="n"/>
      <c r="G358" s="43" t="n"/>
    </row>
    <row r="359" ht="12.75" customHeight="1" s="125">
      <c r="B359" s="42" t="n"/>
      <c r="G359" s="43" t="n"/>
    </row>
    <row r="360" ht="12.75" customHeight="1" s="125">
      <c r="B360" s="42" t="n"/>
      <c r="G360" s="43" t="n"/>
    </row>
    <row r="361" ht="12.75" customHeight="1" s="125">
      <c r="B361" s="42" t="n"/>
      <c r="G361" s="43" t="n"/>
    </row>
    <row r="362" ht="12.75" customHeight="1" s="125">
      <c r="B362" s="42" t="n"/>
      <c r="G362" s="43" t="n"/>
    </row>
    <row r="363" ht="12.75" customHeight="1" s="125">
      <c r="B363" s="42" t="n"/>
      <c r="G363" s="43" t="n"/>
    </row>
    <row r="364" ht="12.75" customHeight="1" s="125">
      <c r="B364" s="42" t="n"/>
      <c r="G364" s="43" t="n"/>
    </row>
    <row r="365" ht="12.75" customHeight="1" s="125">
      <c r="B365" s="42" t="n"/>
      <c r="G365" s="43" t="n"/>
    </row>
    <row r="366" ht="12.75" customHeight="1" s="125">
      <c r="B366" s="42" t="n"/>
      <c r="G366" s="43" t="n"/>
    </row>
    <row r="367" ht="12.75" customHeight="1" s="125">
      <c r="B367" s="42" t="n"/>
      <c r="G367" s="43" t="n"/>
    </row>
    <row r="368" ht="12.75" customHeight="1" s="125">
      <c r="B368" s="42" t="n"/>
      <c r="G368" s="43" t="n"/>
    </row>
    <row r="369" ht="12.75" customHeight="1" s="125">
      <c r="B369" s="42" t="n"/>
      <c r="G369" s="43" t="n"/>
    </row>
    <row r="370" ht="12.75" customHeight="1" s="125">
      <c r="B370" s="42" t="n"/>
      <c r="G370" s="43" t="n"/>
    </row>
    <row r="371" ht="12.75" customHeight="1" s="125">
      <c r="B371" s="42" t="n"/>
      <c r="G371" s="43" t="n"/>
    </row>
    <row r="372" ht="12.75" customHeight="1" s="125">
      <c r="B372" s="42" t="n"/>
      <c r="G372" s="43" t="n"/>
    </row>
    <row r="373" ht="12.75" customHeight="1" s="125">
      <c r="B373" s="42" t="n"/>
      <c r="G373" s="43" t="n"/>
    </row>
    <row r="374" ht="12.75" customHeight="1" s="125">
      <c r="B374" s="42" t="n"/>
      <c r="G374" s="43" t="n"/>
    </row>
    <row r="375" ht="12.75" customHeight="1" s="125">
      <c r="B375" s="42" t="n"/>
      <c r="G375" s="43" t="n"/>
    </row>
    <row r="376" ht="12.75" customHeight="1" s="125">
      <c r="B376" s="42" t="n"/>
      <c r="G376" s="43" t="n"/>
    </row>
    <row r="377" ht="12.75" customHeight="1" s="125">
      <c r="B377" s="42" t="n"/>
      <c r="G377" s="43" t="n"/>
    </row>
    <row r="378" ht="12.75" customHeight="1" s="125">
      <c r="B378" s="42" t="n"/>
      <c r="G378" s="43" t="n"/>
    </row>
    <row r="379" ht="12.75" customHeight="1" s="125">
      <c r="B379" s="42" t="n"/>
      <c r="G379" s="43" t="n"/>
    </row>
    <row r="380" ht="12.75" customHeight="1" s="125">
      <c r="B380" s="42" t="n"/>
      <c r="G380" s="43" t="n"/>
    </row>
    <row r="381" ht="12.75" customHeight="1" s="125">
      <c r="B381" s="42" t="n"/>
      <c r="G381" s="43" t="n"/>
    </row>
    <row r="382" ht="12.75" customHeight="1" s="125">
      <c r="B382" s="42" t="n"/>
      <c r="G382" s="43" t="n"/>
    </row>
    <row r="383" ht="12.75" customHeight="1" s="125">
      <c r="B383" s="42" t="n"/>
      <c r="G383" s="43" t="n"/>
    </row>
    <row r="384" ht="12.75" customHeight="1" s="125">
      <c r="B384" s="42" t="n"/>
      <c r="G384" s="43" t="n"/>
    </row>
    <row r="385" ht="12.75" customHeight="1" s="125">
      <c r="B385" s="42" t="n"/>
      <c r="G385" s="43" t="n"/>
    </row>
    <row r="386" ht="12.75" customHeight="1" s="125">
      <c r="B386" s="42" t="n"/>
      <c r="G386" s="43" t="n"/>
    </row>
    <row r="387" ht="12.75" customHeight="1" s="125">
      <c r="B387" s="42" t="n"/>
      <c r="G387" s="43" t="n"/>
    </row>
    <row r="388" ht="12.75" customHeight="1" s="125">
      <c r="B388" s="42" t="n"/>
      <c r="G388" s="43" t="n"/>
    </row>
    <row r="389" ht="12.75" customHeight="1" s="125">
      <c r="B389" s="42" t="n"/>
      <c r="G389" s="43" t="n"/>
    </row>
    <row r="390" ht="12.75" customHeight="1" s="125">
      <c r="B390" s="42" t="n"/>
      <c r="G390" s="43" t="n"/>
    </row>
    <row r="391" ht="12.75" customHeight="1" s="125">
      <c r="B391" s="42" t="n"/>
      <c r="G391" s="43" t="n"/>
    </row>
    <row r="392" ht="12.75" customHeight="1" s="125">
      <c r="B392" s="42" t="n"/>
      <c r="G392" s="43" t="n"/>
    </row>
    <row r="393" ht="12.75" customHeight="1" s="125">
      <c r="B393" s="42" t="n"/>
      <c r="G393" s="43" t="n"/>
    </row>
    <row r="394" ht="12.75" customHeight="1" s="125">
      <c r="B394" s="42" t="n"/>
      <c r="G394" s="43" t="n"/>
    </row>
    <row r="395" ht="12.75" customHeight="1" s="125">
      <c r="B395" s="42" t="n"/>
      <c r="G395" s="43" t="n"/>
    </row>
    <row r="396" ht="12.75" customHeight="1" s="125">
      <c r="B396" s="42" t="n"/>
      <c r="G396" s="43" t="n"/>
    </row>
    <row r="397" ht="12.75" customHeight="1" s="125">
      <c r="B397" s="42" t="n"/>
      <c r="G397" s="43" t="n"/>
    </row>
    <row r="398" ht="12.75" customHeight="1" s="125">
      <c r="B398" s="42" t="n"/>
      <c r="G398" s="43" t="n"/>
    </row>
    <row r="399" ht="12.75" customHeight="1" s="125">
      <c r="B399" s="42" t="n"/>
      <c r="G399" s="43" t="n"/>
    </row>
    <row r="400" ht="12.75" customHeight="1" s="125">
      <c r="B400" s="42" t="n"/>
      <c r="G400" s="43" t="n"/>
    </row>
    <row r="401" ht="12.75" customHeight="1" s="125">
      <c r="B401" s="42" t="n"/>
      <c r="G401" s="43" t="n"/>
    </row>
    <row r="402" ht="12.75" customHeight="1" s="125">
      <c r="B402" s="42" t="n"/>
      <c r="G402" s="43" t="n"/>
    </row>
    <row r="403" ht="12.75" customHeight="1" s="125">
      <c r="B403" s="42" t="n"/>
      <c r="G403" s="43" t="n"/>
    </row>
    <row r="404" ht="12.75" customHeight="1" s="125">
      <c r="B404" s="42" t="n"/>
      <c r="G404" s="43" t="n"/>
    </row>
    <row r="405" ht="12.75" customHeight="1" s="125">
      <c r="B405" s="42" t="n"/>
      <c r="G405" s="43" t="n"/>
    </row>
    <row r="406" ht="12.75" customHeight="1" s="125">
      <c r="B406" s="42" t="n"/>
      <c r="G406" s="43" t="n"/>
    </row>
    <row r="407" ht="12.75" customHeight="1" s="125">
      <c r="B407" s="42" t="n"/>
      <c r="G407" s="43" t="n"/>
    </row>
    <row r="408" ht="12.75" customHeight="1" s="125">
      <c r="B408" s="42" t="n"/>
      <c r="G408" s="43" t="n"/>
    </row>
    <row r="409" ht="12.75" customHeight="1" s="125">
      <c r="B409" s="42" t="n"/>
      <c r="G409" s="43" t="n"/>
    </row>
    <row r="410" ht="12.75" customHeight="1" s="125">
      <c r="B410" s="42" t="n"/>
      <c r="G410" s="43" t="n"/>
    </row>
    <row r="411" ht="12.75" customHeight="1" s="125">
      <c r="B411" s="42" t="n"/>
      <c r="G411" s="43" t="n"/>
    </row>
    <row r="412" ht="12.75" customHeight="1" s="125">
      <c r="B412" s="42" t="n"/>
      <c r="G412" s="43" t="n"/>
    </row>
    <row r="413" ht="12.75" customHeight="1" s="125">
      <c r="B413" s="42" t="n"/>
      <c r="G413" s="43" t="n"/>
    </row>
    <row r="414" ht="12.75" customHeight="1" s="125">
      <c r="B414" s="42" t="n"/>
      <c r="G414" s="43" t="n"/>
    </row>
    <row r="415" ht="12.75" customHeight="1" s="125">
      <c r="B415" s="42" t="n"/>
      <c r="G415" s="43" t="n"/>
    </row>
    <row r="416" ht="12.75" customHeight="1" s="125">
      <c r="B416" s="42" t="n"/>
      <c r="G416" s="43" t="n"/>
    </row>
    <row r="417" ht="12.75" customHeight="1" s="125">
      <c r="B417" s="42" t="n"/>
      <c r="G417" s="43" t="n"/>
    </row>
    <row r="418" ht="12.75" customHeight="1" s="125">
      <c r="B418" s="42" t="n"/>
      <c r="G418" s="43" t="n"/>
    </row>
    <row r="419" ht="12.75" customHeight="1" s="125">
      <c r="B419" s="42" t="n"/>
      <c r="G419" s="43" t="n"/>
    </row>
    <row r="420" ht="12.75" customHeight="1" s="125">
      <c r="B420" s="42" t="n"/>
      <c r="G420" s="43" t="n"/>
    </row>
    <row r="421" ht="12.75" customHeight="1" s="125">
      <c r="B421" s="42" t="n"/>
      <c r="G421" s="43" t="n"/>
    </row>
    <row r="422" ht="12.75" customHeight="1" s="125">
      <c r="B422" s="42" t="n"/>
      <c r="G422" s="43" t="n"/>
    </row>
    <row r="423" ht="12.75" customHeight="1" s="125">
      <c r="B423" s="42" t="n"/>
      <c r="G423" s="43" t="n"/>
    </row>
    <row r="424" ht="12.75" customHeight="1" s="125">
      <c r="B424" s="42" t="n"/>
      <c r="G424" s="43" t="n"/>
    </row>
    <row r="425" ht="12.75" customHeight="1" s="125">
      <c r="B425" s="42" t="n"/>
      <c r="G425" s="43" t="n"/>
    </row>
    <row r="426" ht="12.75" customHeight="1" s="125">
      <c r="B426" s="42" t="n"/>
      <c r="G426" s="43" t="n"/>
    </row>
    <row r="427" ht="12.75" customHeight="1" s="125">
      <c r="B427" s="42" t="n"/>
      <c r="G427" s="43" t="n"/>
    </row>
    <row r="428" ht="12.75" customHeight="1" s="125">
      <c r="B428" s="42" t="n"/>
      <c r="G428" s="43" t="n"/>
    </row>
    <row r="429" ht="12.75" customHeight="1" s="125">
      <c r="B429" s="42" t="n"/>
      <c r="G429" s="43" t="n"/>
    </row>
    <row r="430" ht="12.75" customHeight="1" s="125">
      <c r="B430" s="42" t="n"/>
      <c r="G430" s="43" t="n"/>
    </row>
    <row r="431" ht="12.75" customHeight="1" s="125">
      <c r="B431" s="42" t="n"/>
      <c r="G431" s="43" t="n"/>
    </row>
    <row r="432" ht="12.75" customHeight="1" s="125">
      <c r="B432" s="42" t="n"/>
      <c r="G432" s="43" t="n"/>
    </row>
    <row r="433" ht="12.75" customHeight="1" s="125">
      <c r="B433" s="42" t="n"/>
      <c r="G433" s="43" t="n"/>
    </row>
    <row r="434" ht="12.75" customHeight="1" s="125">
      <c r="B434" s="42" t="n"/>
      <c r="G434" s="43" t="n"/>
    </row>
    <row r="435" ht="12.75" customHeight="1" s="125">
      <c r="B435" s="42" t="n"/>
      <c r="G435" s="43" t="n"/>
    </row>
    <row r="436" ht="12.75" customHeight="1" s="125">
      <c r="B436" s="42" t="n"/>
      <c r="G436" s="43" t="n"/>
    </row>
    <row r="437" ht="12.75" customHeight="1" s="125">
      <c r="B437" s="42" t="n"/>
      <c r="G437" s="43" t="n"/>
    </row>
    <row r="438" ht="12.75" customHeight="1" s="125">
      <c r="B438" s="42" t="n"/>
      <c r="G438" s="43" t="n"/>
    </row>
    <row r="439" ht="12.75" customHeight="1" s="125">
      <c r="B439" s="42" t="n"/>
      <c r="G439" s="43" t="n"/>
    </row>
    <row r="440" ht="12.75" customHeight="1" s="125">
      <c r="B440" s="42" t="n"/>
      <c r="G440" s="43" t="n"/>
    </row>
    <row r="441" ht="12.75" customHeight="1" s="125">
      <c r="B441" s="42" t="n"/>
      <c r="G441" s="43" t="n"/>
    </row>
    <row r="442" ht="12.75" customHeight="1" s="125">
      <c r="B442" s="42" t="n"/>
      <c r="G442" s="43" t="n"/>
    </row>
    <row r="443" ht="12.75" customHeight="1" s="125">
      <c r="B443" s="42" t="n"/>
      <c r="G443" s="43" t="n"/>
    </row>
    <row r="444" ht="12.75" customHeight="1" s="125">
      <c r="B444" s="42" t="n"/>
      <c r="G444" s="43" t="n"/>
    </row>
    <row r="445" ht="12.75" customHeight="1" s="125">
      <c r="B445" s="42" t="n"/>
      <c r="G445" s="43" t="n"/>
    </row>
    <row r="446" ht="12.75" customHeight="1" s="125">
      <c r="B446" s="42" t="n"/>
      <c r="G446" s="43" t="n"/>
    </row>
    <row r="447" ht="12.75" customHeight="1" s="125">
      <c r="B447" s="42" t="n"/>
      <c r="G447" s="43" t="n"/>
    </row>
    <row r="448" ht="12.75" customHeight="1" s="125">
      <c r="B448" s="42" t="n"/>
      <c r="G448" s="43" t="n"/>
    </row>
    <row r="449" ht="12.75" customHeight="1" s="125">
      <c r="B449" s="42" t="n"/>
      <c r="G449" s="43" t="n"/>
    </row>
    <row r="450" ht="12.75" customHeight="1" s="125">
      <c r="B450" s="42" t="n"/>
      <c r="G450" s="43" t="n"/>
    </row>
    <row r="451" ht="12.75" customHeight="1" s="125">
      <c r="B451" s="42" t="n"/>
      <c r="G451" s="43" t="n"/>
    </row>
    <row r="452" ht="12.75" customHeight="1" s="125">
      <c r="B452" s="42" t="n"/>
      <c r="G452" s="43" t="n"/>
    </row>
    <row r="453" ht="12.75" customHeight="1" s="125">
      <c r="B453" s="42" t="n"/>
      <c r="G453" s="43" t="n"/>
    </row>
    <row r="454" ht="12.75" customHeight="1" s="125">
      <c r="B454" s="42" t="n"/>
      <c r="G454" s="43" t="n"/>
    </row>
    <row r="455" ht="12.75" customHeight="1" s="125">
      <c r="B455" s="42" t="n"/>
      <c r="G455" s="43" t="n"/>
    </row>
    <row r="456" ht="12.75" customHeight="1" s="125">
      <c r="B456" s="42" t="n"/>
      <c r="G456" s="43" t="n"/>
    </row>
    <row r="457" ht="12.75" customHeight="1" s="125">
      <c r="B457" s="42" t="n"/>
      <c r="G457" s="43" t="n"/>
    </row>
    <row r="458" ht="12.75" customHeight="1" s="125">
      <c r="B458" s="42" t="n"/>
      <c r="G458" s="43" t="n"/>
    </row>
    <row r="459" ht="12.75" customHeight="1" s="125">
      <c r="B459" s="42" t="n"/>
      <c r="G459" s="43" t="n"/>
    </row>
    <row r="460" ht="12.75" customHeight="1" s="125">
      <c r="B460" s="42" t="n"/>
      <c r="G460" s="43" t="n"/>
    </row>
    <row r="461" ht="12.75" customHeight="1" s="125">
      <c r="B461" s="42" t="n"/>
      <c r="G461" s="43" t="n"/>
    </row>
    <row r="462" ht="12.75" customHeight="1" s="125">
      <c r="B462" s="42" t="n"/>
      <c r="G462" s="43" t="n"/>
    </row>
    <row r="463" ht="12.75" customHeight="1" s="125">
      <c r="B463" s="42" t="n"/>
      <c r="G463" s="43" t="n"/>
    </row>
    <row r="464" ht="12.75" customHeight="1" s="125">
      <c r="B464" s="42" t="n"/>
      <c r="G464" s="43" t="n"/>
    </row>
    <row r="465" ht="12.75" customHeight="1" s="125">
      <c r="B465" s="42" t="n"/>
      <c r="G465" s="43" t="n"/>
    </row>
    <row r="466" ht="12.75" customHeight="1" s="125">
      <c r="B466" s="42" t="n"/>
      <c r="G466" s="43" t="n"/>
    </row>
    <row r="467" ht="12.75" customHeight="1" s="125">
      <c r="B467" s="42" t="n"/>
      <c r="G467" s="43" t="n"/>
    </row>
    <row r="468" ht="12.75" customHeight="1" s="125">
      <c r="B468" s="42" t="n"/>
      <c r="G468" s="43" t="n"/>
    </row>
    <row r="469" ht="12.75" customHeight="1" s="125">
      <c r="B469" s="42" t="n"/>
      <c r="G469" s="43" t="n"/>
    </row>
    <row r="470" ht="12.75" customHeight="1" s="125">
      <c r="B470" s="42" t="n"/>
      <c r="G470" s="43" t="n"/>
    </row>
    <row r="471" ht="12.75" customHeight="1" s="125">
      <c r="B471" s="42" t="n"/>
      <c r="G471" s="43" t="n"/>
    </row>
    <row r="472" ht="12.75" customHeight="1" s="125">
      <c r="B472" s="42" t="n"/>
      <c r="G472" s="43" t="n"/>
    </row>
    <row r="473" ht="12.75" customHeight="1" s="125">
      <c r="B473" s="42" t="n"/>
      <c r="G473" s="43" t="n"/>
    </row>
    <row r="474" ht="12.75" customHeight="1" s="125">
      <c r="B474" s="42" t="n"/>
      <c r="G474" s="43" t="n"/>
    </row>
    <row r="475" ht="12.75" customHeight="1" s="125">
      <c r="B475" s="42" t="n"/>
      <c r="G475" s="43" t="n"/>
    </row>
    <row r="476" ht="12.75" customHeight="1" s="125">
      <c r="B476" s="42" t="n"/>
      <c r="G476" s="43" t="n"/>
    </row>
    <row r="477" ht="12.75" customHeight="1" s="125">
      <c r="B477" s="42" t="n"/>
      <c r="G477" s="43" t="n"/>
    </row>
    <row r="478" ht="12.75" customHeight="1" s="125">
      <c r="B478" s="42" t="n"/>
      <c r="G478" s="43" t="n"/>
    </row>
    <row r="479" ht="12.75" customHeight="1" s="125">
      <c r="B479" s="42" t="n"/>
      <c r="G479" s="43" t="n"/>
    </row>
    <row r="480" ht="12.75" customHeight="1" s="125">
      <c r="B480" s="42" t="n"/>
      <c r="G480" s="43" t="n"/>
    </row>
    <row r="481" ht="12.75" customHeight="1" s="125">
      <c r="B481" s="42" t="n"/>
      <c r="G481" s="43" t="n"/>
    </row>
    <row r="482" ht="12.75" customHeight="1" s="125">
      <c r="B482" s="42" t="n"/>
      <c r="G482" s="43" t="n"/>
    </row>
    <row r="483" ht="12.75" customHeight="1" s="125">
      <c r="B483" s="42" t="n"/>
      <c r="G483" s="43" t="n"/>
    </row>
    <row r="484" ht="12.75" customHeight="1" s="125">
      <c r="B484" s="42" t="n"/>
      <c r="G484" s="43" t="n"/>
    </row>
    <row r="485" ht="12.75" customHeight="1" s="125">
      <c r="B485" s="42" t="n"/>
      <c r="G485" s="43" t="n"/>
    </row>
    <row r="486" ht="12.75" customHeight="1" s="125">
      <c r="B486" s="42" t="n"/>
      <c r="G486" s="43" t="n"/>
    </row>
    <row r="487" ht="12.75" customHeight="1" s="125">
      <c r="B487" s="42" t="n"/>
      <c r="G487" s="43" t="n"/>
    </row>
    <row r="488" ht="12.75" customHeight="1" s="125">
      <c r="B488" s="42" t="n"/>
      <c r="G488" s="43" t="n"/>
    </row>
    <row r="489" ht="12.75" customHeight="1" s="125">
      <c r="B489" s="42" t="n"/>
      <c r="G489" s="43" t="n"/>
    </row>
    <row r="490" ht="12.75" customHeight="1" s="125">
      <c r="B490" s="42" t="n"/>
      <c r="G490" s="43" t="n"/>
    </row>
    <row r="491" ht="12.75" customHeight="1" s="125">
      <c r="B491" s="42" t="n"/>
      <c r="G491" s="43" t="n"/>
    </row>
    <row r="492" ht="12.75" customHeight="1" s="125">
      <c r="B492" s="42" t="n"/>
      <c r="G492" s="43" t="n"/>
    </row>
    <row r="493" ht="12.75" customHeight="1" s="125">
      <c r="B493" s="42" t="n"/>
      <c r="G493" s="43" t="n"/>
    </row>
    <row r="494" ht="12.75" customHeight="1" s="125">
      <c r="B494" s="42" t="n"/>
      <c r="G494" s="43" t="n"/>
    </row>
    <row r="495" ht="12.75" customHeight="1" s="125">
      <c r="B495" s="42" t="n"/>
      <c r="G495" s="43" t="n"/>
    </row>
    <row r="496" ht="12.75" customHeight="1" s="125">
      <c r="B496" s="42" t="n"/>
      <c r="G496" s="43" t="n"/>
    </row>
    <row r="497" ht="12.75" customHeight="1" s="125">
      <c r="B497" s="42" t="n"/>
      <c r="G497" s="43" t="n"/>
    </row>
    <row r="498" ht="12.75" customHeight="1" s="125">
      <c r="B498" s="42" t="n"/>
      <c r="G498" s="43" t="n"/>
    </row>
    <row r="499" ht="12.75" customHeight="1" s="125">
      <c r="B499" s="42" t="n"/>
      <c r="G499" s="43" t="n"/>
    </row>
    <row r="500" ht="12.75" customHeight="1" s="125">
      <c r="B500" s="42" t="n"/>
      <c r="G500" s="43" t="n"/>
    </row>
    <row r="501" ht="12.75" customHeight="1" s="125">
      <c r="B501" s="42" t="n"/>
      <c r="G501" s="43" t="n"/>
    </row>
    <row r="502" ht="12.75" customHeight="1" s="125">
      <c r="B502" s="42" t="n"/>
      <c r="G502" s="43" t="n"/>
    </row>
    <row r="503" ht="12.75" customHeight="1" s="125">
      <c r="B503" s="42" t="n"/>
      <c r="G503" s="43" t="n"/>
    </row>
    <row r="504" ht="12.75" customHeight="1" s="125">
      <c r="B504" s="42" t="n"/>
      <c r="G504" s="43" t="n"/>
    </row>
    <row r="505" ht="12.75" customHeight="1" s="125">
      <c r="B505" s="42" t="n"/>
      <c r="G505" s="43" t="n"/>
    </row>
    <row r="506" ht="12.75" customHeight="1" s="125">
      <c r="B506" s="42" t="n"/>
      <c r="G506" s="43" t="n"/>
    </row>
    <row r="507" ht="12.75" customHeight="1" s="125">
      <c r="B507" s="42" t="n"/>
      <c r="G507" s="43" t="n"/>
    </row>
    <row r="508" ht="12.75" customHeight="1" s="125">
      <c r="B508" s="42" t="n"/>
      <c r="G508" s="43" t="n"/>
    </row>
    <row r="509" ht="12.75" customHeight="1" s="125">
      <c r="B509" s="42" t="n"/>
      <c r="G509" s="43" t="n"/>
    </row>
    <row r="510" ht="12.75" customHeight="1" s="125">
      <c r="B510" s="42" t="n"/>
      <c r="G510" s="43" t="n"/>
    </row>
    <row r="511" ht="12.75" customHeight="1" s="125">
      <c r="B511" s="42" t="n"/>
      <c r="G511" s="43" t="n"/>
    </row>
    <row r="512" ht="12.75" customHeight="1" s="125">
      <c r="B512" s="42" t="n"/>
      <c r="G512" s="43" t="n"/>
    </row>
    <row r="513" ht="12.75" customHeight="1" s="125">
      <c r="B513" s="42" t="n"/>
      <c r="G513" s="43" t="n"/>
    </row>
    <row r="514" ht="12.75" customHeight="1" s="125">
      <c r="B514" s="42" t="n"/>
      <c r="G514" s="43" t="n"/>
    </row>
    <row r="515" ht="12.75" customHeight="1" s="125">
      <c r="B515" s="42" t="n"/>
      <c r="G515" s="43" t="n"/>
    </row>
    <row r="516" ht="12.75" customHeight="1" s="125">
      <c r="B516" s="42" t="n"/>
      <c r="G516" s="43" t="n"/>
    </row>
    <row r="517" ht="12.75" customHeight="1" s="125">
      <c r="B517" s="42" t="n"/>
      <c r="G517" s="43" t="n"/>
    </row>
    <row r="518" ht="12.75" customHeight="1" s="125">
      <c r="B518" s="42" t="n"/>
      <c r="G518" s="43" t="n"/>
    </row>
    <row r="519" ht="12.75" customHeight="1" s="125">
      <c r="B519" s="42" t="n"/>
      <c r="G519" s="43" t="n"/>
    </row>
    <row r="520" ht="12.75" customHeight="1" s="125">
      <c r="B520" s="42" t="n"/>
      <c r="G520" s="43" t="n"/>
    </row>
    <row r="521" ht="12.75" customHeight="1" s="125">
      <c r="B521" s="42" t="n"/>
      <c r="G521" s="43" t="n"/>
    </row>
    <row r="522" ht="12.75" customHeight="1" s="125">
      <c r="B522" s="42" t="n"/>
      <c r="G522" s="43" t="n"/>
    </row>
    <row r="523" ht="12.75" customHeight="1" s="125">
      <c r="B523" s="42" t="n"/>
      <c r="G523" s="43" t="n"/>
    </row>
    <row r="524" ht="12.75" customHeight="1" s="125">
      <c r="B524" s="42" t="n"/>
      <c r="G524" s="43" t="n"/>
    </row>
    <row r="525" ht="12.75" customHeight="1" s="125">
      <c r="B525" s="42" t="n"/>
      <c r="G525" s="43" t="n"/>
    </row>
    <row r="526" ht="12.75" customHeight="1" s="125">
      <c r="B526" s="42" t="n"/>
      <c r="G526" s="43" t="n"/>
    </row>
    <row r="527" ht="12.75" customHeight="1" s="125">
      <c r="B527" s="42" t="n"/>
      <c r="G527" s="43" t="n"/>
    </row>
    <row r="528" ht="12.75" customHeight="1" s="125">
      <c r="B528" s="42" t="n"/>
      <c r="G528" s="43" t="n"/>
    </row>
    <row r="529" ht="12.75" customHeight="1" s="125">
      <c r="B529" s="42" t="n"/>
      <c r="G529" s="43" t="n"/>
    </row>
    <row r="530" ht="12.75" customHeight="1" s="125">
      <c r="B530" s="42" t="n"/>
      <c r="G530" s="43" t="n"/>
    </row>
    <row r="531" ht="12.75" customHeight="1" s="125">
      <c r="B531" s="42" t="n"/>
      <c r="G531" s="43" t="n"/>
    </row>
    <row r="532" ht="12.75" customHeight="1" s="125">
      <c r="B532" s="42" t="n"/>
      <c r="G532" s="43" t="n"/>
    </row>
    <row r="533" ht="12.75" customHeight="1" s="125">
      <c r="B533" s="42" t="n"/>
      <c r="G533" s="43" t="n"/>
    </row>
    <row r="534" ht="12.75" customHeight="1" s="125">
      <c r="B534" s="42" t="n"/>
      <c r="G534" s="43" t="n"/>
    </row>
    <row r="535" ht="12.75" customHeight="1" s="125">
      <c r="B535" s="42" t="n"/>
      <c r="G535" s="43" t="n"/>
    </row>
    <row r="536" ht="12.75" customHeight="1" s="125">
      <c r="B536" s="42" t="n"/>
      <c r="G536" s="43" t="n"/>
    </row>
    <row r="537" ht="12.75" customHeight="1" s="125">
      <c r="B537" s="42" t="n"/>
      <c r="G537" s="43" t="n"/>
    </row>
    <row r="538" ht="12.75" customHeight="1" s="125">
      <c r="B538" s="42" t="n"/>
      <c r="G538" s="43" t="n"/>
    </row>
    <row r="539" ht="12.75" customHeight="1" s="125">
      <c r="B539" s="42" t="n"/>
      <c r="G539" s="43" t="n"/>
    </row>
    <row r="540" ht="12.75" customHeight="1" s="125">
      <c r="B540" s="42" t="n"/>
      <c r="G540" s="43" t="n"/>
    </row>
    <row r="541" ht="12.75" customHeight="1" s="125">
      <c r="B541" s="42" t="n"/>
      <c r="G541" s="43" t="n"/>
    </row>
    <row r="542" ht="12.75" customHeight="1" s="125">
      <c r="B542" s="42" t="n"/>
      <c r="G542" s="43" t="n"/>
    </row>
    <row r="543" ht="12.75" customHeight="1" s="125">
      <c r="B543" s="42" t="n"/>
      <c r="G543" s="43" t="n"/>
    </row>
    <row r="544" ht="12.75" customHeight="1" s="125">
      <c r="B544" s="42" t="n"/>
      <c r="G544" s="43" t="n"/>
    </row>
    <row r="545" ht="12.75" customHeight="1" s="125">
      <c r="B545" s="42" t="n"/>
      <c r="G545" s="43" t="n"/>
    </row>
    <row r="546" ht="12.75" customHeight="1" s="125">
      <c r="B546" s="42" t="n"/>
      <c r="G546" s="43" t="n"/>
    </row>
    <row r="547" ht="12.75" customHeight="1" s="125">
      <c r="B547" s="42" t="n"/>
      <c r="G547" s="43" t="n"/>
    </row>
    <row r="548" ht="12.75" customHeight="1" s="125">
      <c r="B548" s="42" t="n"/>
      <c r="G548" s="43" t="n"/>
    </row>
    <row r="549" ht="12.75" customHeight="1" s="125">
      <c r="B549" s="42" t="n"/>
      <c r="G549" s="43" t="n"/>
    </row>
    <row r="550" ht="12.75" customHeight="1" s="125">
      <c r="B550" s="42" t="n"/>
      <c r="G550" s="43" t="n"/>
    </row>
    <row r="551" ht="12.75" customHeight="1" s="125">
      <c r="B551" s="42" t="n"/>
      <c r="G551" s="43" t="n"/>
    </row>
    <row r="552" ht="12.75" customHeight="1" s="125">
      <c r="B552" s="42" t="n"/>
      <c r="G552" s="43" t="n"/>
    </row>
    <row r="553" ht="12.75" customHeight="1" s="125">
      <c r="B553" s="42" t="n"/>
      <c r="G553" s="43" t="n"/>
    </row>
    <row r="554" ht="12.75" customHeight="1" s="125">
      <c r="B554" s="42" t="n"/>
      <c r="G554" s="43" t="n"/>
    </row>
    <row r="555" ht="12.75" customHeight="1" s="125">
      <c r="B555" s="42" t="n"/>
      <c r="G555" s="43" t="n"/>
    </row>
    <row r="556" ht="12.75" customHeight="1" s="125">
      <c r="B556" s="42" t="n"/>
      <c r="G556" s="43" t="n"/>
    </row>
    <row r="557" ht="12.75" customHeight="1" s="125">
      <c r="B557" s="42" t="n"/>
      <c r="G557" s="43" t="n"/>
    </row>
    <row r="558" ht="12.75" customHeight="1" s="125">
      <c r="B558" s="42" t="n"/>
      <c r="G558" s="43" t="n"/>
    </row>
    <row r="559" ht="12.75" customHeight="1" s="125">
      <c r="B559" s="42" t="n"/>
      <c r="G559" s="43" t="n"/>
    </row>
    <row r="560" ht="12.75" customHeight="1" s="125">
      <c r="B560" s="42" t="n"/>
      <c r="G560" s="43" t="n"/>
    </row>
    <row r="561" ht="12.75" customHeight="1" s="125">
      <c r="B561" s="42" t="n"/>
      <c r="G561" s="43" t="n"/>
    </row>
    <row r="562" ht="12.75" customHeight="1" s="125">
      <c r="B562" s="42" t="n"/>
      <c r="G562" s="43" t="n"/>
    </row>
    <row r="563" ht="12.75" customHeight="1" s="125">
      <c r="B563" s="42" t="n"/>
      <c r="G563" s="43" t="n"/>
    </row>
    <row r="564" ht="12.75" customHeight="1" s="125">
      <c r="B564" s="42" t="n"/>
      <c r="G564" s="43" t="n"/>
    </row>
    <row r="565" ht="12.75" customHeight="1" s="125">
      <c r="B565" s="42" t="n"/>
      <c r="G565" s="43" t="n"/>
    </row>
    <row r="566" ht="12.75" customHeight="1" s="125">
      <c r="B566" s="42" t="n"/>
      <c r="G566" s="43" t="n"/>
    </row>
    <row r="567" ht="12.75" customHeight="1" s="125">
      <c r="B567" s="42" t="n"/>
      <c r="G567" s="43" t="n"/>
    </row>
    <row r="568" ht="12.75" customHeight="1" s="125">
      <c r="B568" s="42" t="n"/>
      <c r="G568" s="43" t="n"/>
    </row>
    <row r="569" ht="12.75" customHeight="1" s="125">
      <c r="B569" s="42" t="n"/>
      <c r="G569" s="43" t="n"/>
    </row>
    <row r="570" ht="12.75" customHeight="1" s="125">
      <c r="B570" s="42" t="n"/>
      <c r="G570" s="43" t="n"/>
    </row>
    <row r="571" ht="12.75" customHeight="1" s="125">
      <c r="B571" s="42" t="n"/>
      <c r="G571" s="43" t="n"/>
    </row>
    <row r="572" ht="12.75" customHeight="1" s="125">
      <c r="B572" s="42" t="n"/>
      <c r="G572" s="43" t="n"/>
    </row>
    <row r="573" ht="12.75" customHeight="1" s="125">
      <c r="B573" s="42" t="n"/>
      <c r="G573" s="43" t="n"/>
    </row>
    <row r="574" ht="12.75" customHeight="1" s="125">
      <c r="B574" s="42" t="n"/>
      <c r="G574" s="43" t="n"/>
    </row>
    <row r="575" ht="12.75" customHeight="1" s="125">
      <c r="B575" s="42" t="n"/>
      <c r="G575" s="43" t="n"/>
    </row>
    <row r="576" ht="12.75" customHeight="1" s="125">
      <c r="B576" s="42" t="n"/>
      <c r="G576" s="43" t="n"/>
    </row>
    <row r="577" ht="12.75" customHeight="1" s="125">
      <c r="B577" s="42" t="n"/>
      <c r="G577" s="43" t="n"/>
    </row>
    <row r="578" ht="12.75" customHeight="1" s="125">
      <c r="B578" s="42" t="n"/>
      <c r="G578" s="43" t="n"/>
    </row>
    <row r="579" ht="12.75" customHeight="1" s="125">
      <c r="B579" s="42" t="n"/>
      <c r="G579" s="43" t="n"/>
    </row>
    <row r="580" ht="12.75" customHeight="1" s="125">
      <c r="B580" s="42" t="n"/>
      <c r="G580" s="43" t="n"/>
    </row>
    <row r="581" ht="12.75" customHeight="1" s="125">
      <c r="B581" s="42" t="n"/>
      <c r="G581" s="43" t="n"/>
    </row>
    <row r="582" ht="12.75" customHeight="1" s="125">
      <c r="B582" s="42" t="n"/>
      <c r="G582" s="43" t="n"/>
    </row>
    <row r="583" ht="12.75" customHeight="1" s="125">
      <c r="B583" s="42" t="n"/>
      <c r="G583" s="43" t="n"/>
    </row>
    <row r="584" ht="12.75" customHeight="1" s="125">
      <c r="B584" s="42" t="n"/>
      <c r="G584" s="43" t="n"/>
    </row>
    <row r="585" ht="12.75" customHeight="1" s="125">
      <c r="B585" s="42" t="n"/>
      <c r="G585" s="43" t="n"/>
    </row>
    <row r="586" ht="12.75" customHeight="1" s="125">
      <c r="B586" s="42" t="n"/>
      <c r="G586" s="43" t="n"/>
    </row>
    <row r="587" ht="12.75" customHeight="1" s="125">
      <c r="B587" s="42" t="n"/>
      <c r="G587" s="43" t="n"/>
    </row>
    <row r="588" ht="12.75" customHeight="1" s="125">
      <c r="B588" s="42" t="n"/>
      <c r="G588" s="43" t="n"/>
    </row>
    <row r="589" ht="12.75" customHeight="1" s="125">
      <c r="B589" s="42" t="n"/>
      <c r="G589" s="43" t="n"/>
    </row>
    <row r="590" ht="12.75" customHeight="1" s="125">
      <c r="B590" s="42" t="n"/>
      <c r="G590" s="43" t="n"/>
    </row>
    <row r="591" ht="12.75" customHeight="1" s="125">
      <c r="B591" s="42" t="n"/>
      <c r="G591" s="43" t="n"/>
    </row>
    <row r="592" ht="12.75" customHeight="1" s="125">
      <c r="B592" s="42" t="n"/>
      <c r="G592" s="43" t="n"/>
    </row>
    <row r="593" ht="12.75" customHeight="1" s="125">
      <c r="B593" s="42" t="n"/>
      <c r="G593" s="43" t="n"/>
    </row>
    <row r="594" ht="12.75" customHeight="1" s="125">
      <c r="B594" s="42" t="n"/>
      <c r="G594" s="43" t="n"/>
    </row>
    <row r="595" ht="12.75" customHeight="1" s="125">
      <c r="B595" s="42" t="n"/>
      <c r="G595" s="43" t="n"/>
    </row>
    <row r="596" ht="12.75" customHeight="1" s="125">
      <c r="B596" s="42" t="n"/>
      <c r="G596" s="43" t="n"/>
    </row>
    <row r="597" ht="12.75" customHeight="1" s="125">
      <c r="B597" s="42" t="n"/>
      <c r="G597" s="43" t="n"/>
    </row>
    <row r="598" ht="12.75" customHeight="1" s="125">
      <c r="B598" s="42" t="n"/>
      <c r="G598" s="43" t="n"/>
    </row>
    <row r="599" ht="12.75" customHeight="1" s="125">
      <c r="B599" s="42" t="n"/>
      <c r="G599" s="43" t="n"/>
    </row>
    <row r="600" ht="12.75" customHeight="1" s="125">
      <c r="B600" s="42" t="n"/>
      <c r="G600" s="43" t="n"/>
    </row>
    <row r="601" ht="12.75" customHeight="1" s="125">
      <c r="B601" s="42" t="n"/>
      <c r="G601" s="43" t="n"/>
    </row>
    <row r="602" ht="12.75" customHeight="1" s="125">
      <c r="B602" s="42" t="n"/>
      <c r="G602" s="43" t="n"/>
    </row>
    <row r="603" ht="12.75" customHeight="1" s="125">
      <c r="B603" s="42" t="n"/>
      <c r="G603" s="43" t="n"/>
    </row>
    <row r="604" ht="12.75" customHeight="1" s="125">
      <c r="B604" s="42" t="n"/>
      <c r="G604" s="43" t="n"/>
    </row>
    <row r="605" ht="12.75" customHeight="1" s="125">
      <c r="B605" s="42" t="n"/>
      <c r="G605" s="43" t="n"/>
    </row>
    <row r="606" ht="12.75" customHeight="1" s="125">
      <c r="B606" s="42" t="n"/>
      <c r="G606" s="43" t="n"/>
    </row>
    <row r="607" ht="12.75" customHeight="1" s="125">
      <c r="B607" s="42" t="n"/>
      <c r="G607" s="43" t="n"/>
    </row>
    <row r="608" ht="12.75" customHeight="1" s="125">
      <c r="B608" s="42" t="n"/>
      <c r="G608" s="43" t="n"/>
    </row>
    <row r="609" ht="12.75" customHeight="1" s="125">
      <c r="B609" s="42" t="n"/>
      <c r="G609" s="43" t="n"/>
    </row>
    <row r="610" ht="12.75" customHeight="1" s="125">
      <c r="B610" s="42" t="n"/>
      <c r="G610" s="43" t="n"/>
    </row>
    <row r="611" ht="12.75" customHeight="1" s="125">
      <c r="B611" s="42" t="n"/>
      <c r="G611" s="43" t="n"/>
    </row>
    <row r="612" ht="12.75" customHeight="1" s="125">
      <c r="B612" s="42" t="n"/>
      <c r="G612" s="43" t="n"/>
    </row>
    <row r="613" ht="12.75" customHeight="1" s="125">
      <c r="B613" s="42" t="n"/>
      <c r="G613" s="43" t="n"/>
    </row>
    <row r="614" ht="12.75" customHeight="1" s="125">
      <c r="B614" s="42" t="n"/>
      <c r="G614" s="43" t="n"/>
    </row>
    <row r="615" ht="12.75" customHeight="1" s="125">
      <c r="B615" s="42" t="n"/>
      <c r="G615" s="43" t="n"/>
    </row>
    <row r="616" ht="12.75" customHeight="1" s="125">
      <c r="B616" s="42" t="n"/>
      <c r="G616" s="43" t="n"/>
    </row>
    <row r="617" ht="12.75" customHeight="1" s="125">
      <c r="B617" s="42" t="n"/>
      <c r="G617" s="43" t="n"/>
    </row>
    <row r="618" ht="12.75" customHeight="1" s="125">
      <c r="B618" s="42" t="n"/>
      <c r="G618" s="43" t="n"/>
    </row>
    <row r="619" ht="12.75" customHeight="1" s="125">
      <c r="B619" s="42" t="n"/>
      <c r="G619" s="43" t="n"/>
    </row>
    <row r="620" ht="12.75" customHeight="1" s="125">
      <c r="B620" s="42" t="n"/>
      <c r="G620" s="43" t="n"/>
    </row>
    <row r="621" ht="12.75" customHeight="1" s="125">
      <c r="B621" s="42" t="n"/>
      <c r="G621" s="43" t="n"/>
    </row>
    <row r="622" ht="12.75" customHeight="1" s="125">
      <c r="B622" s="42" t="n"/>
      <c r="G622" s="43" t="n"/>
    </row>
    <row r="623" ht="12.75" customHeight="1" s="125">
      <c r="B623" s="42" t="n"/>
      <c r="G623" s="43" t="n"/>
    </row>
    <row r="624" ht="12.75" customHeight="1" s="125">
      <c r="B624" s="42" t="n"/>
      <c r="G624" s="43" t="n"/>
    </row>
    <row r="625" ht="12.75" customHeight="1" s="125">
      <c r="B625" s="42" t="n"/>
      <c r="G625" s="43" t="n"/>
    </row>
    <row r="626" ht="12.75" customHeight="1" s="125">
      <c r="B626" s="42" t="n"/>
      <c r="G626" s="43" t="n"/>
    </row>
    <row r="627" ht="12.75" customHeight="1" s="125">
      <c r="B627" s="42" t="n"/>
      <c r="G627" s="43" t="n"/>
    </row>
    <row r="628" ht="12.75" customHeight="1" s="125">
      <c r="B628" s="42" t="n"/>
      <c r="G628" s="43" t="n"/>
    </row>
    <row r="629" ht="12.75" customHeight="1" s="125">
      <c r="B629" s="42" t="n"/>
      <c r="G629" s="43" t="n"/>
    </row>
    <row r="630" ht="12.75" customHeight="1" s="125">
      <c r="B630" s="42" t="n"/>
      <c r="G630" s="43" t="n"/>
    </row>
    <row r="631" ht="12.75" customHeight="1" s="125">
      <c r="B631" s="42" t="n"/>
      <c r="G631" s="43" t="n"/>
    </row>
    <row r="632" ht="12.75" customHeight="1" s="125">
      <c r="B632" s="42" t="n"/>
      <c r="G632" s="43" t="n"/>
    </row>
    <row r="633" ht="12.75" customHeight="1" s="125">
      <c r="B633" s="42" t="n"/>
      <c r="G633" s="43" t="n"/>
    </row>
    <row r="634" ht="12.75" customHeight="1" s="125">
      <c r="B634" s="42" t="n"/>
      <c r="G634" s="43" t="n"/>
    </row>
    <row r="635" ht="12.75" customHeight="1" s="125">
      <c r="B635" s="42" t="n"/>
      <c r="G635" s="43" t="n"/>
    </row>
    <row r="636" ht="12.75" customHeight="1" s="125">
      <c r="B636" s="42" t="n"/>
      <c r="G636" s="43" t="n"/>
    </row>
    <row r="637" ht="12.75" customHeight="1" s="125">
      <c r="B637" s="42" t="n"/>
      <c r="G637" s="43" t="n"/>
    </row>
    <row r="638" ht="12.75" customHeight="1" s="125">
      <c r="B638" s="42" t="n"/>
      <c r="G638" s="43" t="n"/>
    </row>
    <row r="639" ht="12.75" customHeight="1" s="125">
      <c r="B639" s="42" t="n"/>
      <c r="G639" s="43" t="n"/>
    </row>
    <row r="640" ht="12.75" customHeight="1" s="125">
      <c r="B640" s="42" t="n"/>
      <c r="G640" s="43" t="n"/>
    </row>
    <row r="641" ht="12.75" customHeight="1" s="125">
      <c r="B641" s="42" t="n"/>
      <c r="G641" s="43" t="n"/>
    </row>
    <row r="642" ht="12.75" customHeight="1" s="125">
      <c r="B642" s="42" t="n"/>
      <c r="G642" s="43" t="n"/>
    </row>
    <row r="643" ht="12.75" customHeight="1" s="125">
      <c r="B643" s="42" t="n"/>
      <c r="G643" s="43" t="n"/>
    </row>
    <row r="644" ht="12.75" customHeight="1" s="125">
      <c r="B644" s="42" t="n"/>
      <c r="G644" s="43" t="n"/>
    </row>
    <row r="645" ht="12.75" customHeight="1" s="125">
      <c r="B645" s="42" t="n"/>
      <c r="G645" s="43" t="n"/>
    </row>
    <row r="646" ht="12.75" customHeight="1" s="125">
      <c r="B646" s="42" t="n"/>
      <c r="G646" s="43" t="n"/>
    </row>
    <row r="647" ht="12.75" customHeight="1" s="125">
      <c r="B647" s="42" t="n"/>
      <c r="G647" s="43" t="n"/>
    </row>
    <row r="648" ht="12.75" customHeight="1" s="125">
      <c r="B648" s="42" t="n"/>
      <c r="G648" s="43" t="n"/>
    </row>
    <row r="649" ht="12.75" customHeight="1" s="125">
      <c r="B649" s="42" t="n"/>
      <c r="G649" s="43" t="n"/>
    </row>
    <row r="650" ht="12.75" customHeight="1" s="125">
      <c r="B650" s="42" t="n"/>
      <c r="G650" s="43" t="n"/>
    </row>
    <row r="651" ht="12.75" customHeight="1" s="125">
      <c r="B651" s="42" t="n"/>
      <c r="G651" s="43" t="n"/>
    </row>
    <row r="652" ht="12.75" customHeight="1" s="125">
      <c r="B652" s="42" t="n"/>
      <c r="G652" s="43" t="n"/>
    </row>
    <row r="653" ht="12.75" customHeight="1" s="125">
      <c r="B653" s="42" t="n"/>
      <c r="G653" s="43" t="n"/>
    </row>
    <row r="654" ht="12.75" customHeight="1" s="125">
      <c r="B654" s="42" t="n"/>
      <c r="G654" s="43" t="n"/>
    </row>
    <row r="655" ht="12.75" customHeight="1" s="125">
      <c r="B655" s="42" t="n"/>
      <c r="G655" s="43" t="n"/>
    </row>
    <row r="656" ht="12.75" customHeight="1" s="125">
      <c r="B656" s="42" t="n"/>
      <c r="G656" s="43" t="n"/>
    </row>
    <row r="657" ht="12.75" customHeight="1" s="125">
      <c r="B657" s="42" t="n"/>
      <c r="G657" s="43" t="n"/>
    </row>
    <row r="658" ht="12.75" customHeight="1" s="125">
      <c r="B658" s="42" t="n"/>
      <c r="G658" s="43" t="n"/>
    </row>
    <row r="659" ht="12.75" customHeight="1" s="125">
      <c r="B659" s="42" t="n"/>
      <c r="G659" s="43" t="n"/>
    </row>
    <row r="660" ht="12.75" customHeight="1" s="125">
      <c r="B660" s="42" t="n"/>
      <c r="G660" s="43" t="n"/>
    </row>
    <row r="661" ht="12.75" customHeight="1" s="125">
      <c r="B661" s="42" t="n"/>
      <c r="G661" s="43" t="n"/>
    </row>
    <row r="662" ht="12.75" customHeight="1" s="125">
      <c r="B662" s="42" t="n"/>
      <c r="G662" s="43" t="n"/>
    </row>
    <row r="663" ht="12.75" customHeight="1" s="125">
      <c r="B663" s="42" t="n"/>
      <c r="G663" s="43" t="n"/>
    </row>
    <row r="664" ht="12.75" customHeight="1" s="125">
      <c r="B664" s="42" t="n"/>
      <c r="G664" s="43" t="n"/>
    </row>
    <row r="665" ht="12.75" customHeight="1" s="125">
      <c r="B665" s="42" t="n"/>
      <c r="G665" s="43" t="n"/>
    </row>
    <row r="666" ht="12.75" customHeight="1" s="125">
      <c r="B666" s="42" t="n"/>
      <c r="G666" s="43" t="n"/>
    </row>
    <row r="667" ht="12.75" customHeight="1" s="125">
      <c r="B667" s="42" t="n"/>
      <c r="G667" s="43" t="n"/>
    </row>
    <row r="668" ht="12.75" customHeight="1" s="125">
      <c r="B668" s="42" t="n"/>
      <c r="G668" s="43" t="n"/>
    </row>
    <row r="669" ht="12.75" customHeight="1" s="125">
      <c r="B669" s="42" t="n"/>
      <c r="G669" s="43" t="n"/>
    </row>
    <row r="670" ht="12.75" customHeight="1" s="125">
      <c r="B670" s="42" t="n"/>
      <c r="G670" s="43" t="n"/>
    </row>
    <row r="671" ht="12.75" customHeight="1" s="125">
      <c r="B671" s="42" t="n"/>
      <c r="G671" s="43" t="n"/>
    </row>
    <row r="672" ht="12.75" customHeight="1" s="125">
      <c r="B672" s="42" t="n"/>
      <c r="G672" s="43" t="n"/>
    </row>
    <row r="673" ht="12.75" customHeight="1" s="125">
      <c r="B673" s="42" t="n"/>
      <c r="G673" s="43" t="n"/>
    </row>
    <row r="674" ht="12.75" customHeight="1" s="125">
      <c r="B674" s="42" t="n"/>
      <c r="G674" s="43" t="n"/>
    </row>
    <row r="675" ht="12.75" customHeight="1" s="125">
      <c r="B675" s="42" t="n"/>
      <c r="G675" s="43" t="n"/>
    </row>
    <row r="676" ht="12.75" customHeight="1" s="125">
      <c r="B676" s="42" t="n"/>
      <c r="G676" s="43" t="n"/>
    </row>
    <row r="677" ht="12.75" customHeight="1" s="125">
      <c r="B677" s="42" t="n"/>
      <c r="G677" s="43" t="n"/>
    </row>
    <row r="678" ht="12.75" customHeight="1" s="125">
      <c r="B678" s="42" t="n"/>
      <c r="G678" s="43" t="n"/>
    </row>
    <row r="679" ht="12.75" customHeight="1" s="125">
      <c r="B679" s="42" t="n"/>
      <c r="G679" s="43" t="n"/>
    </row>
    <row r="680" ht="12.75" customHeight="1" s="125">
      <c r="B680" s="42" t="n"/>
      <c r="G680" s="43" t="n"/>
    </row>
    <row r="681" ht="12.75" customHeight="1" s="125">
      <c r="B681" s="42" t="n"/>
      <c r="G681" s="43" t="n"/>
    </row>
    <row r="682" ht="12.75" customHeight="1" s="125">
      <c r="B682" s="42" t="n"/>
      <c r="G682" s="43" t="n"/>
    </row>
    <row r="683" ht="12.75" customHeight="1" s="125">
      <c r="B683" s="42" t="n"/>
      <c r="G683" s="43" t="n"/>
    </row>
    <row r="684" ht="12.75" customHeight="1" s="125">
      <c r="B684" s="42" t="n"/>
      <c r="G684" s="43" t="n"/>
    </row>
    <row r="685" ht="12.75" customHeight="1" s="125">
      <c r="B685" s="42" t="n"/>
      <c r="G685" s="43" t="n"/>
    </row>
    <row r="686" ht="12.75" customHeight="1" s="125">
      <c r="B686" s="42" t="n"/>
      <c r="G686" s="43" t="n"/>
    </row>
    <row r="687" ht="12.75" customHeight="1" s="125">
      <c r="B687" s="42" t="n"/>
      <c r="G687" s="43" t="n"/>
    </row>
    <row r="688" ht="12.75" customHeight="1" s="125">
      <c r="B688" s="42" t="n"/>
      <c r="G688" s="43" t="n"/>
    </row>
    <row r="689" ht="12.75" customHeight="1" s="125">
      <c r="B689" s="42" t="n"/>
      <c r="G689" s="43" t="n"/>
    </row>
    <row r="690" ht="12.75" customHeight="1" s="125">
      <c r="B690" s="42" t="n"/>
      <c r="G690" s="43" t="n"/>
    </row>
    <row r="691" ht="12.75" customHeight="1" s="125">
      <c r="B691" s="42" t="n"/>
      <c r="G691" s="43" t="n"/>
    </row>
    <row r="692" ht="12.75" customHeight="1" s="125">
      <c r="B692" s="42" t="n"/>
      <c r="G692" s="43" t="n"/>
    </row>
    <row r="693" ht="12.75" customHeight="1" s="125">
      <c r="B693" s="42" t="n"/>
      <c r="G693" s="43" t="n"/>
    </row>
    <row r="694" ht="12.75" customHeight="1" s="125">
      <c r="B694" s="42" t="n"/>
      <c r="G694" s="43" t="n"/>
    </row>
    <row r="695" ht="12.75" customHeight="1" s="125">
      <c r="B695" s="42" t="n"/>
      <c r="G695" s="43" t="n"/>
    </row>
    <row r="696" ht="12.75" customHeight="1" s="125">
      <c r="B696" s="42" t="n"/>
      <c r="G696" s="43" t="n"/>
    </row>
    <row r="697" ht="12.75" customHeight="1" s="125">
      <c r="B697" s="42" t="n"/>
      <c r="G697" s="43" t="n"/>
    </row>
    <row r="698" ht="12.75" customHeight="1" s="125">
      <c r="B698" s="42" t="n"/>
      <c r="G698" s="43" t="n"/>
    </row>
    <row r="699" ht="12.75" customHeight="1" s="125">
      <c r="B699" s="42" t="n"/>
      <c r="G699" s="43" t="n"/>
    </row>
    <row r="700" ht="12.75" customHeight="1" s="125">
      <c r="B700" s="42" t="n"/>
      <c r="G700" s="43" t="n"/>
    </row>
    <row r="701" ht="12.75" customHeight="1" s="125">
      <c r="B701" s="42" t="n"/>
      <c r="G701" s="43" t="n"/>
    </row>
    <row r="702" ht="12.75" customHeight="1" s="125">
      <c r="B702" s="42" t="n"/>
      <c r="G702" s="43" t="n"/>
    </row>
    <row r="703" ht="12.75" customHeight="1" s="125">
      <c r="B703" s="42" t="n"/>
      <c r="G703" s="43" t="n"/>
    </row>
    <row r="704" ht="12.75" customHeight="1" s="125">
      <c r="B704" s="42" t="n"/>
      <c r="G704" s="43" t="n"/>
    </row>
    <row r="705" ht="12.75" customHeight="1" s="125">
      <c r="B705" s="42" t="n"/>
      <c r="G705" s="43" t="n"/>
    </row>
    <row r="706" ht="12.75" customHeight="1" s="125">
      <c r="B706" s="42" t="n"/>
      <c r="G706" s="43" t="n"/>
    </row>
    <row r="707" ht="12.75" customHeight="1" s="125">
      <c r="B707" s="42" t="n"/>
      <c r="G707" s="43" t="n"/>
    </row>
    <row r="708" ht="12.75" customHeight="1" s="125">
      <c r="B708" s="42" t="n"/>
      <c r="G708" s="43" t="n"/>
    </row>
    <row r="709" ht="12.75" customHeight="1" s="125">
      <c r="B709" s="42" t="n"/>
      <c r="G709" s="43" t="n"/>
    </row>
    <row r="710" ht="12.75" customHeight="1" s="125">
      <c r="B710" s="42" t="n"/>
      <c r="G710" s="43" t="n"/>
    </row>
    <row r="711" ht="12.75" customHeight="1" s="125">
      <c r="B711" s="42" t="n"/>
      <c r="G711" s="43" t="n"/>
    </row>
    <row r="712" ht="12.75" customHeight="1" s="125">
      <c r="B712" s="42" t="n"/>
      <c r="G712" s="43" t="n"/>
    </row>
    <row r="713" ht="12.75" customHeight="1" s="125">
      <c r="B713" s="42" t="n"/>
      <c r="G713" s="43" t="n"/>
    </row>
    <row r="714" ht="12.75" customHeight="1" s="125">
      <c r="B714" s="42" t="n"/>
      <c r="G714" s="43" t="n"/>
    </row>
    <row r="715" ht="12.75" customHeight="1" s="125">
      <c r="B715" s="42" t="n"/>
      <c r="G715" s="43" t="n"/>
    </row>
    <row r="716" ht="12.75" customHeight="1" s="125">
      <c r="B716" s="42" t="n"/>
      <c r="G716" s="43" t="n"/>
    </row>
    <row r="717" ht="12.75" customHeight="1" s="125">
      <c r="B717" s="42" t="n"/>
      <c r="G717" s="43" t="n"/>
    </row>
    <row r="718" ht="12.75" customHeight="1" s="125">
      <c r="B718" s="42" t="n"/>
      <c r="G718" s="43" t="n"/>
    </row>
    <row r="719" ht="12.75" customHeight="1" s="125">
      <c r="B719" s="42" t="n"/>
      <c r="G719" s="43" t="n"/>
    </row>
    <row r="720" ht="12.75" customHeight="1" s="125">
      <c r="B720" s="42" t="n"/>
      <c r="G720" s="43" t="n"/>
    </row>
    <row r="721" ht="12.75" customHeight="1" s="125">
      <c r="B721" s="42" t="n"/>
      <c r="G721" s="43" t="n"/>
    </row>
    <row r="722" ht="12.75" customHeight="1" s="125">
      <c r="B722" s="42" t="n"/>
      <c r="G722" s="43" t="n"/>
    </row>
    <row r="723" ht="12.75" customHeight="1" s="125">
      <c r="B723" s="42" t="n"/>
      <c r="G723" s="43" t="n"/>
    </row>
    <row r="724" ht="12.75" customHeight="1" s="125">
      <c r="B724" s="42" t="n"/>
      <c r="G724" s="43" t="n"/>
    </row>
    <row r="725" ht="12.75" customHeight="1" s="125">
      <c r="B725" s="42" t="n"/>
      <c r="G725" s="43" t="n"/>
    </row>
    <row r="726" ht="12.75" customHeight="1" s="125">
      <c r="B726" s="42" t="n"/>
      <c r="G726" s="43" t="n"/>
    </row>
    <row r="727" ht="12.75" customHeight="1" s="125">
      <c r="B727" s="42" t="n"/>
      <c r="G727" s="43" t="n"/>
    </row>
    <row r="728" ht="12.75" customHeight="1" s="125">
      <c r="B728" s="42" t="n"/>
      <c r="G728" s="43" t="n"/>
    </row>
    <row r="729" ht="12.75" customHeight="1" s="125">
      <c r="B729" s="42" t="n"/>
      <c r="G729" s="43" t="n"/>
    </row>
    <row r="730" ht="12.75" customHeight="1" s="125">
      <c r="B730" s="42" t="n"/>
      <c r="G730" s="43" t="n"/>
    </row>
    <row r="731" ht="12.75" customHeight="1" s="125">
      <c r="B731" s="42" t="n"/>
      <c r="G731" s="43" t="n"/>
    </row>
    <row r="732" ht="12.75" customHeight="1" s="125">
      <c r="B732" s="42" t="n"/>
      <c r="G732" s="43" t="n"/>
    </row>
    <row r="733" ht="12.75" customHeight="1" s="125">
      <c r="B733" s="42" t="n"/>
      <c r="G733" s="43" t="n"/>
    </row>
    <row r="734" ht="12.75" customHeight="1" s="125">
      <c r="B734" s="42" t="n"/>
      <c r="G734" s="43" t="n"/>
    </row>
    <row r="735" ht="12.75" customHeight="1" s="125">
      <c r="B735" s="42" t="n"/>
      <c r="G735" s="43" t="n"/>
    </row>
    <row r="736" ht="12.75" customHeight="1" s="125">
      <c r="B736" s="42" t="n"/>
      <c r="G736" s="43" t="n"/>
    </row>
    <row r="737" ht="12.75" customHeight="1" s="125">
      <c r="B737" s="42" t="n"/>
      <c r="G737" s="43" t="n"/>
    </row>
    <row r="738" ht="12.75" customHeight="1" s="125">
      <c r="B738" s="42" t="n"/>
      <c r="G738" s="43" t="n"/>
    </row>
    <row r="739" ht="12.75" customHeight="1" s="125">
      <c r="B739" s="42" t="n"/>
      <c r="G739" s="43" t="n"/>
    </row>
    <row r="740" ht="12.75" customHeight="1" s="125">
      <c r="B740" s="42" t="n"/>
      <c r="G740" s="43" t="n"/>
    </row>
    <row r="741" ht="12.75" customHeight="1" s="125">
      <c r="B741" s="42" t="n"/>
      <c r="G741" s="43" t="n"/>
    </row>
    <row r="742" ht="12.75" customHeight="1" s="125">
      <c r="B742" s="42" t="n"/>
      <c r="G742" s="43" t="n"/>
    </row>
    <row r="743" ht="12.75" customHeight="1" s="125">
      <c r="B743" s="42" t="n"/>
      <c r="G743" s="43" t="n"/>
    </row>
    <row r="744" ht="12.75" customHeight="1" s="125">
      <c r="B744" s="42" t="n"/>
      <c r="G744" s="43" t="n"/>
    </row>
    <row r="745" ht="12.75" customHeight="1" s="125">
      <c r="B745" s="42" t="n"/>
      <c r="G745" s="43" t="n"/>
    </row>
    <row r="746" ht="12.75" customHeight="1" s="125">
      <c r="B746" s="42" t="n"/>
      <c r="G746" s="43" t="n"/>
    </row>
    <row r="747" ht="12.75" customHeight="1" s="125">
      <c r="B747" s="42" t="n"/>
      <c r="G747" s="43" t="n"/>
    </row>
    <row r="748" ht="12.75" customHeight="1" s="125">
      <c r="B748" s="42" t="n"/>
      <c r="G748" s="43" t="n"/>
    </row>
    <row r="749" ht="12.75" customHeight="1" s="125">
      <c r="B749" s="42" t="n"/>
      <c r="G749" s="43" t="n"/>
    </row>
    <row r="750" ht="12.75" customHeight="1" s="125">
      <c r="B750" s="42" t="n"/>
      <c r="G750" s="43" t="n"/>
    </row>
    <row r="751" ht="12.75" customHeight="1" s="125">
      <c r="B751" s="42" t="n"/>
      <c r="G751" s="43" t="n"/>
    </row>
    <row r="752" ht="12.75" customHeight="1" s="125">
      <c r="B752" s="42" t="n"/>
      <c r="G752" s="43" t="n"/>
    </row>
    <row r="753" ht="12.75" customHeight="1" s="125">
      <c r="B753" s="42" t="n"/>
      <c r="G753" s="43" t="n"/>
    </row>
    <row r="754" ht="12.75" customHeight="1" s="125">
      <c r="B754" s="42" t="n"/>
      <c r="G754" s="43" t="n"/>
    </row>
    <row r="755" ht="12.75" customHeight="1" s="125">
      <c r="B755" s="42" t="n"/>
      <c r="G755" s="43" t="n"/>
    </row>
    <row r="756" ht="12.75" customHeight="1" s="125">
      <c r="B756" s="42" t="n"/>
      <c r="G756" s="43" t="n"/>
    </row>
    <row r="757" ht="12.75" customHeight="1" s="125">
      <c r="B757" s="42" t="n"/>
      <c r="G757" s="43" t="n"/>
    </row>
    <row r="758" ht="12.75" customHeight="1" s="125">
      <c r="B758" s="42" t="n"/>
      <c r="G758" s="43" t="n"/>
    </row>
    <row r="759" ht="12.75" customHeight="1" s="125">
      <c r="B759" s="42" t="n"/>
      <c r="G759" s="43" t="n"/>
    </row>
    <row r="760" ht="12.75" customHeight="1" s="125">
      <c r="B760" s="42" t="n"/>
      <c r="G760" s="43" t="n"/>
    </row>
    <row r="761" ht="12.75" customHeight="1" s="125">
      <c r="B761" s="42" t="n"/>
      <c r="G761" s="43" t="n"/>
    </row>
    <row r="762" ht="12.75" customHeight="1" s="125">
      <c r="B762" s="42" t="n"/>
      <c r="G762" s="43" t="n"/>
    </row>
    <row r="763" ht="12.75" customHeight="1" s="125">
      <c r="B763" s="42" t="n"/>
      <c r="G763" s="43" t="n"/>
    </row>
    <row r="764" ht="12.75" customHeight="1" s="125">
      <c r="B764" s="42" t="n"/>
      <c r="G764" s="43" t="n"/>
    </row>
    <row r="765" ht="12.75" customHeight="1" s="125">
      <c r="B765" s="42" t="n"/>
      <c r="G765" s="43" t="n"/>
    </row>
    <row r="766" ht="12.75" customHeight="1" s="125">
      <c r="B766" s="42" t="n"/>
      <c r="G766" s="43" t="n"/>
    </row>
    <row r="767" ht="12.75" customHeight="1" s="125">
      <c r="B767" s="42" t="n"/>
      <c r="G767" s="43" t="n"/>
    </row>
    <row r="768" ht="12.75" customHeight="1" s="125">
      <c r="B768" s="42" t="n"/>
      <c r="G768" s="43" t="n"/>
    </row>
    <row r="769" ht="12.75" customHeight="1" s="125">
      <c r="B769" s="42" t="n"/>
      <c r="G769" s="43" t="n"/>
    </row>
    <row r="770" ht="12.75" customHeight="1" s="125">
      <c r="B770" s="42" t="n"/>
      <c r="G770" s="43" t="n"/>
    </row>
    <row r="771" ht="12.75" customHeight="1" s="125">
      <c r="B771" s="42" t="n"/>
      <c r="G771" s="43" t="n"/>
    </row>
    <row r="772" ht="12.75" customHeight="1" s="125">
      <c r="B772" s="42" t="n"/>
      <c r="G772" s="43" t="n"/>
    </row>
    <row r="773" ht="12.75" customHeight="1" s="125">
      <c r="B773" s="42" t="n"/>
      <c r="G773" s="43" t="n"/>
    </row>
    <row r="774" ht="12.75" customHeight="1" s="125">
      <c r="B774" s="42" t="n"/>
      <c r="G774" s="43" t="n"/>
    </row>
    <row r="775" ht="12.75" customHeight="1" s="125">
      <c r="B775" s="42" t="n"/>
      <c r="G775" s="43" t="n"/>
    </row>
    <row r="776" ht="12.75" customHeight="1" s="125">
      <c r="B776" s="42" t="n"/>
      <c r="G776" s="43" t="n"/>
    </row>
    <row r="777" ht="12.75" customHeight="1" s="125">
      <c r="B777" s="42" t="n"/>
      <c r="G777" s="43" t="n"/>
    </row>
    <row r="778" ht="12.75" customHeight="1" s="125">
      <c r="B778" s="42" t="n"/>
      <c r="G778" s="43" t="n"/>
    </row>
    <row r="779" ht="12.75" customHeight="1" s="125">
      <c r="B779" s="42" t="n"/>
      <c r="G779" s="43" t="n"/>
    </row>
    <row r="780" ht="12.75" customHeight="1" s="125">
      <c r="B780" s="42" t="n"/>
      <c r="G780" s="43" t="n"/>
    </row>
    <row r="781" ht="12.75" customHeight="1" s="125">
      <c r="B781" s="42" t="n"/>
      <c r="G781" s="43" t="n"/>
    </row>
    <row r="782" ht="12.75" customHeight="1" s="125">
      <c r="B782" s="42" t="n"/>
      <c r="G782" s="43" t="n"/>
    </row>
    <row r="783" ht="12.75" customHeight="1" s="125">
      <c r="B783" s="42" t="n"/>
      <c r="G783" s="43" t="n"/>
    </row>
    <row r="784" ht="12.75" customHeight="1" s="125">
      <c r="B784" s="42" t="n"/>
      <c r="G784" s="43" t="n"/>
    </row>
    <row r="785" ht="12.75" customHeight="1" s="125">
      <c r="B785" s="42" t="n"/>
      <c r="G785" s="43" t="n"/>
    </row>
    <row r="786" ht="12.75" customHeight="1" s="125">
      <c r="B786" s="42" t="n"/>
      <c r="G786" s="43" t="n"/>
    </row>
    <row r="787" ht="12.75" customHeight="1" s="125">
      <c r="B787" s="42" t="n"/>
      <c r="G787" s="43" t="n"/>
    </row>
    <row r="788" ht="12.75" customHeight="1" s="125">
      <c r="B788" s="42" t="n"/>
      <c r="G788" s="43" t="n"/>
    </row>
    <row r="789" ht="12.75" customHeight="1" s="125">
      <c r="B789" s="42" t="n"/>
      <c r="G789" s="43" t="n"/>
    </row>
    <row r="790" ht="12.75" customHeight="1" s="125">
      <c r="B790" s="42" t="n"/>
      <c r="G790" s="43" t="n"/>
    </row>
    <row r="791" ht="12.75" customHeight="1" s="125">
      <c r="B791" s="42" t="n"/>
      <c r="G791" s="43" t="n"/>
    </row>
    <row r="792" ht="12.75" customHeight="1" s="125">
      <c r="B792" s="42" t="n"/>
      <c r="G792" s="43" t="n"/>
    </row>
    <row r="793" ht="12.75" customHeight="1" s="125">
      <c r="B793" s="42" t="n"/>
      <c r="G793" s="43" t="n"/>
    </row>
    <row r="794" ht="12.75" customHeight="1" s="125">
      <c r="B794" s="42" t="n"/>
      <c r="G794" s="43" t="n"/>
    </row>
    <row r="795" ht="12.75" customHeight="1" s="125">
      <c r="B795" s="42" t="n"/>
      <c r="G795" s="43" t="n"/>
    </row>
    <row r="796" ht="12.75" customHeight="1" s="125">
      <c r="B796" s="42" t="n"/>
      <c r="G796" s="43" t="n"/>
    </row>
    <row r="797" ht="12.75" customHeight="1" s="125">
      <c r="B797" s="42" t="n"/>
      <c r="G797" s="43" t="n"/>
    </row>
    <row r="798" ht="12.75" customHeight="1" s="125">
      <c r="B798" s="42" t="n"/>
      <c r="G798" s="43" t="n"/>
    </row>
    <row r="799" ht="12.75" customHeight="1" s="125">
      <c r="B799" s="42" t="n"/>
      <c r="G799" s="43" t="n"/>
    </row>
    <row r="800" ht="12.75" customHeight="1" s="125">
      <c r="B800" s="42" t="n"/>
      <c r="G800" s="43" t="n"/>
    </row>
    <row r="801" ht="12.75" customHeight="1" s="125">
      <c r="B801" s="42" t="n"/>
      <c r="G801" s="43" t="n"/>
    </row>
    <row r="802" ht="12.75" customHeight="1" s="125">
      <c r="B802" s="42" t="n"/>
      <c r="G802" s="43" t="n"/>
    </row>
    <row r="803" ht="12.75" customHeight="1" s="125">
      <c r="B803" s="42" t="n"/>
      <c r="G803" s="43" t="n"/>
    </row>
    <row r="804" ht="12.75" customHeight="1" s="125">
      <c r="B804" s="42" t="n"/>
      <c r="G804" s="43" t="n"/>
    </row>
    <row r="805" ht="12.75" customHeight="1" s="125">
      <c r="B805" s="42" t="n"/>
      <c r="G805" s="43" t="n"/>
    </row>
    <row r="806" ht="12.75" customHeight="1" s="125">
      <c r="B806" s="42" t="n"/>
      <c r="G806" s="43" t="n"/>
    </row>
    <row r="807" ht="12.75" customHeight="1" s="125">
      <c r="B807" s="42" t="n"/>
      <c r="G807" s="43" t="n"/>
    </row>
    <row r="808" ht="12.75" customHeight="1" s="125">
      <c r="B808" s="42" t="n"/>
      <c r="G808" s="43" t="n"/>
    </row>
    <row r="809" ht="12.75" customHeight="1" s="125">
      <c r="B809" s="42" t="n"/>
      <c r="G809" s="43" t="n"/>
    </row>
    <row r="810" ht="12.75" customHeight="1" s="125">
      <c r="B810" s="42" t="n"/>
      <c r="G810" s="43" t="n"/>
    </row>
    <row r="811" ht="12.75" customHeight="1" s="125">
      <c r="B811" s="42" t="n"/>
      <c r="G811" s="43" t="n"/>
    </row>
    <row r="812" ht="12.75" customHeight="1" s="125">
      <c r="B812" s="42" t="n"/>
      <c r="G812" s="43" t="n"/>
    </row>
    <row r="813" ht="12.75" customHeight="1" s="125">
      <c r="B813" s="42" t="n"/>
      <c r="G813" s="43" t="n"/>
    </row>
    <row r="814" ht="12.75" customHeight="1" s="125">
      <c r="B814" s="42" t="n"/>
      <c r="G814" s="43" t="n"/>
    </row>
    <row r="815" ht="12.75" customHeight="1" s="125">
      <c r="B815" s="42" t="n"/>
      <c r="G815" s="43" t="n"/>
    </row>
    <row r="816" ht="12.75" customHeight="1" s="125">
      <c r="B816" s="42" t="n"/>
      <c r="G816" s="43" t="n"/>
    </row>
    <row r="817" ht="12.75" customHeight="1" s="125">
      <c r="B817" s="42" t="n"/>
      <c r="G817" s="43" t="n"/>
    </row>
    <row r="818" ht="12.75" customHeight="1" s="125">
      <c r="B818" s="42" t="n"/>
      <c r="G818" s="43" t="n"/>
    </row>
    <row r="819" ht="12.75" customHeight="1" s="125">
      <c r="B819" s="42" t="n"/>
      <c r="G819" s="43" t="n"/>
    </row>
    <row r="820" ht="12.75" customHeight="1" s="125">
      <c r="B820" s="42" t="n"/>
      <c r="G820" s="43" t="n"/>
    </row>
    <row r="821" ht="12.75" customHeight="1" s="125">
      <c r="B821" s="42" t="n"/>
      <c r="G821" s="43" t="n"/>
    </row>
    <row r="822" ht="12.75" customHeight="1" s="125">
      <c r="B822" s="42" t="n"/>
      <c r="G822" s="43" t="n"/>
    </row>
    <row r="823" ht="12.75" customHeight="1" s="125">
      <c r="B823" s="42" t="n"/>
      <c r="G823" s="43" t="n"/>
    </row>
    <row r="824" ht="12.75" customHeight="1" s="125">
      <c r="B824" s="42" t="n"/>
      <c r="G824" s="43" t="n"/>
    </row>
    <row r="825" ht="12.75" customHeight="1" s="125">
      <c r="B825" s="42" t="n"/>
      <c r="G825" s="43" t="n"/>
    </row>
    <row r="826" ht="12.75" customHeight="1" s="125">
      <c r="B826" s="42" t="n"/>
      <c r="G826" s="43" t="n"/>
    </row>
    <row r="827" ht="12.75" customHeight="1" s="125">
      <c r="B827" s="42" t="n"/>
      <c r="G827" s="43" t="n"/>
    </row>
    <row r="828" ht="12.75" customHeight="1" s="125">
      <c r="B828" s="42" t="n"/>
      <c r="G828" s="43" t="n"/>
    </row>
    <row r="829" ht="12.75" customHeight="1" s="125">
      <c r="B829" s="42" t="n"/>
      <c r="G829" s="43" t="n"/>
    </row>
    <row r="830" ht="12.75" customHeight="1" s="125">
      <c r="B830" s="42" t="n"/>
      <c r="G830" s="43" t="n"/>
    </row>
    <row r="831" ht="12.75" customHeight="1" s="125">
      <c r="B831" s="42" t="n"/>
      <c r="G831" s="43" t="n"/>
    </row>
    <row r="832" ht="12.75" customHeight="1" s="125">
      <c r="B832" s="42" t="n"/>
      <c r="G832" s="43" t="n"/>
    </row>
    <row r="833" ht="12.75" customHeight="1" s="125">
      <c r="B833" s="42" t="n"/>
      <c r="G833" s="43" t="n"/>
    </row>
    <row r="834" ht="12.75" customHeight="1" s="125">
      <c r="B834" s="42" t="n"/>
      <c r="G834" s="43" t="n"/>
    </row>
    <row r="835" ht="12.75" customHeight="1" s="125">
      <c r="B835" s="42" t="n"/>
      <c r="G835" s="43" t="n"/>
    </row>
    <row r="836" ht="12.75" customHeight="1" s="125">
      <c r="B836" s="42" t="n"/>
      <c r="G836" s="43" t="n"/>
    </row>
    <row r="837" ht="12.75" customHeight="1" s="125">
      <c r="B837" s="42" t="n"/>
      <c r="G837" s="43" t="n"/>
    </row>
    <row r="838" ht="12.75" customHeight="1" s="125">
      <c r="B838" s="42" t="n"/>
      <c r="G838" s="43" t="n"/>
    </row>
    <row r="839" ht="12.75" customHeight="1" s="125">
      <c r="B839" s="42" t="n"/>
      <c r="G839" s="43" t="n"/>
    </row>
    <row r="840" ht="12.75" customHeight="1" s="125">
      <c r="B840" s="42" t="n"/>
      <c r="G840" s="43" t="n"/>
    </row>
    <row r="841" ht="12.75" customHeight="1" s="125">
      <c r="B841" s="42" t="n"/>
      <c r="G841" s="43" t="n"/>
    </row>
    <row r="842" ht="12.75" customHeight="1" s="125">
      <c r="B842" s="42" t="n"/>
      <c r="G842" s="43" t="n"/>
    </row>
    <row r="843" ht="12.75" customHeight="1" s="125">
      <c r="B843" s="42" t="n"/>
      <c r="G843" s="43" t="n"/>
    </row>
    <row r="844" ht="12.75" customHeight="1" s="125">
      <c r="B844" s="42" t="n"/>
      <c r="G844" s="43" t="n"/>
    </row>
    <row r="845" ht="12.75" customHeight="1" s="125">
      <c r="B845" s="42" t="n"/>
      <c r="G845" s="43" t="n"/>
    </row>
    <row r="846" ht="12.75" customHeight="1" s="125">
      <c r="B846" s="42" t="n"/>
      <c r="G846" s="43" t="n"/>
    </row>
    <row r="847" ht="12.75" customHeight="1" s="125">
      <c r="B847" s="42" t="n"/>
      <c r="G847" s="43" t="n"/>
    </row>
    <row r="848" ht="12.75" customHeight="1" s="125">
      <c r="B848" s="42" t="n"/>
      <c r="G848" s="43" t="n"/>
    </row>
    <row r="849" ht="12.75" customHeight="1" s="125">
      <c r="B849" s="42" t="n"/>
      <c r="G849" s="43" t="n"/>
    </row>
    <row r="850" ht="12.75" customHeight="1" s="125">
      <c r="B850" s="42" t="n"/>
      <c r="G850" s="43" t="n"/>
    </row>
    <row r="851" ht="12.75" customHeight="1" s="125">
      <c r="B851" s="42" t="n"/>
      <c r="G851" s="43" t="n"/>
    </row>
    <row r="852" ht="12.75" customHeight="1" s="125">
      <c r="B852" s="42" t="n"/>
      <c r="G852" s="43" t="n"/>
    </row>
    <row r="853" ht="12.75" customHeight="1" s="125">
      <c r="B853" s="42" t="n"/>
      <c r="G853" s="43" t="n"/>
    </row>
    <row r="854" ht="12.75" customHeight="1" s="125">
      <c r="B854" s="42" t="n"/>
      <c r="G854" s="43" t="n"/>
    </row>
    <row r="855" ht="12.75" customHeight="1" s="125">
      <c r="B855" s="42" t="n"/>
      <c r="G855" s="43" t="n"/>
    </row>
    <row r="856" ht="12.75" customHeight="1" s="125">
      <c r="B856" s="42" t="n"/>
      <c r="G856" s="43" t="n"/>
    </row>
    <row r="857" ht="12.75" customHeight="1" s="125">
      <c r="B857" s="42" t="n"/>
      <c r="G857" s="43" t="n"/>
    </row>
    <row r="858" ht="12.75" customHeight="1" s="125">
      <c r="B858" s="42" t="n"/>
      <c r="G858" s="43" t="n"/>
    </row>
    <row r="859" ht="12.75" customHeight="1" s="125">
      <c r="B859" s="42" t="n"/>
      <c r="G859" s="43" t="n"/>
    </row>
    <row r="860" ht="12.75" customHeight="1" s="125">
      <c r="B860" s="42" t="n"/>
      <c r="G860" s="43" t="n"/>
    </row>
    <row r="861" ht="12.75" customHeight="1" s="125">
      <c r="B861" s="42" t="n"/>
      <c r="G861" s="43" t="n"/>
    </row>
    <row r="862" ht="12.75" customHeight="1" s="125">
      <c r="B862" s="42" t="n"/>
      <c r="G862" s="43" t="n"/>
    </row>
    <row r="863" ht="12.75" customHeight="1" s="125">
      <c r="B863" s="42" t="n"/>
      <c r="G863" s="43" t="n"/>
    </row>
    <row r="864" ht="12.75" customHeight="1" s="125">
      <c r="B864" s="42" t="n"/>
      <c r="G864" s="43" t="n"/>
    </row>
    <row r="865" ht="12.75" customHeight="1" s="125">
      <c r="B865" s="42" t="n"/>
      <c r="G865" s="43" t="n"/>
    </row>
    <row r="866" ht="12.75" customHeight="1" s="125">
      <c r="B866" s="42" t="n"/>
      <c r="G866" s="43" t="n"/>
    </row>
    <row r="867" ht="12.75" customHeight="1" s="125">
      <c r="B867" s="42" t="n"/>
      <c r="G867" s="43" t="n"/>
    </row>
    <row r="868" ht="12.75" customHeight="1" s="125">
      <c r="B868" s="42" t="n"/>
      <c r="G868" s="43" t="n"/>
    </row>
    <row r="869" ht="12.75" customHeight="1" s="125">
      <c r="B869" s="42" t="n"/>
      <c r="G869" s="43" t="n"/>
    </row>
    <row r="870" ht="12.75" customHeight="1" s="125">
      <c r="B870" s="42" t="n"/>
      <c r="G870" s="43" t="n"/>
    </row>
    <row r="871" ht="12.75" customHeight="1" s="125">
      <c r="B871" s="42" t="n"/>
      <c r="G871" s="43" t="n"/>
    </row>
    <row r="872" ht="12.75" customHeight="1" s="125">
      <c r="B872" s="42" t="n"/>
      <c r="G872" s="43" t="n"/>
    </row>
    <row r="873" ht="12.75" customHeight="1" s="125">
      <c r="B873" s="42" t="n"/>
      <c r="G873" s="43" t="n"/>
    </row>
    <row r="874" ht="12.75" customHeight="1" s="125">
      <c r="B874" s="42" t="n"/>
      <c r="G874" s="43" t="n"/>
    </row>
    <row r="875" ht="12.75" customHeight="1" s="125">
      <c r="B875" s="42" t="n"/>
      <c r="G875" s="43" t="n"/>
    </row>
    <row r="876" ht="12.75" customHeight="1" s="125">
      <c r="B876" s="42" t="n"/>
      <c r="G876" s="43" t="n"/>
    </row>
    <row r="877" ht="12.75" customHeight="1" s="125">
      <c r="B877" s="42" t="n"/>
      <c r="G877" s="43" t="n"/>
    </row>
    <row r="878" ht="12.75" customHeight="1" s="125">
      <c r="B878" s="42" t="n"/>
      <c r="G878" s="43" t="n"/>
    </row>
    <row r="879" ht="12.75" customHeight="1" s="125">
      <c r="B879" s="42" t="n"/>
      <c r="G879" s="43" t="n"/>
    </row>
    <row r="880" ht="12.75" customHeight="1" s="125">
      <c r="B880" s="42" t="n"/>
      <c r="G880" s="43" t="n"/>
    </row>
    <row r="881" ht="12.75" customHeight="1" s="125">
      <c r="B881" s="42" t="n"/>
      <c r="G881" s="43" t="n"/>
    </row>
    <row r="882" ht="12.75" customHeight="1" s="125">
      <c r="B882" s="42" t="n"/>
      <c r="G882" s="43" t="n"/>
    </row>
    <row r="883" ht="12.75" customHeight="1" s="125">
      <c r="B883" s="42" t="n"/>
      <c r="G883" s="43" t="n"/>
    </row>
    <row r="884" ht="12.75" customHeight="1" s="125">
      <c r="B884" s="42" t="n"/>
      <c r="G884" s="43" t="n"/>
    </row>
    <row r="885" ht="12.75" customHeight="1" s="125">
      <c r="B885" s="42" t="n"/>
      <c r="G885" s="43" t="n"/>
    </row>
    <row r="886" ht="12.75" customHeight="1" s="125">
      <c r="B886" s="42" t="n"/>
      <c r="G886" s="43" t="n"/>
    </row>
    <row r="887" ht="12.75" customHeight="1" s="125">
      <c r="B887" s="42" t="n"/>
      <c r="G887" s="43" t="n"/>
    </row>
    <row r="888" ht="12.75" customHeight="1" s="125">
      <c r="B888" s="42" t="n"/>
      <c r="G888" s="43" t="n"/>
    </row>
    <row r="889" ht="12.75" customHeight="1" s="125">
      <c r="B889" s="42" t="n"/>
      <c r="G889" s="43" t="n"/>
    </row>
    <row r="890" ht="12.75" customHeight="1" s="125">
      <c r="B890" s="42" t="n"/>
      <c r="G890" s="43" t="n"/>
    </row>
    <row r="891" ht="12.75" customHeight="1" s="125">
      <c r="B891" s="42" t="n"/>
      <c r="G891" s="43" t="n"/>
    </row>
    <row r="892" ht="12.75" customHeight="1" s="125">
      <c r="B892" s="42" t="n"/>
      <c r="G892" s="43" t="n"/>
    </row>
    <row r="893" ht="12.75" customHeight="1" s="125">
      <c r="B893" s="42" t="n"/>
      <c r="G893" s="43" t="n"/>
    </row>
    <row r="894" ht="12.75" customHeight="1" s="125">
      <c r="B894" s="42" t="n"/>
      <c r="G894" s="43" t="n"/>
    </row>
    <row r="895" ht="12.75" customHeight="1" s="125">
      <c r="B895" s="42" t="n"/>
      <c r="G895" s="43" t="n"/>
    </row>
    <row r="896" ht="12.75" customHeight="1" s="125">
      <c r="B896" s="42" t="n"/>
      <c r="G896" s="43" t="n"/>
    </row>
    <row r="897" ht="12.75" customHeight="1" s="125">
      <c r="B897" s="42" t="n"/>
      <c r="G897" s="43" t="n"/>
    </row>
    <row r="898" ht="12.75" customHeight="1" s="125">
      <c r="B898" s="42" t="n"/>
      <c r="G898" s="43" t="n"/>
    </row>
    <row r="899" ht="12.75" customHeight="1" s="125">
      <c r="B899" s="42" t="n"/>
      <c r="G899" s="43" t="n"/>
    </row>
    <row r="900" ht="12.75" customHeight="1" s="125">
      <c r="B900" s="42" t="n"/>
      <c r="G900" s="43" t="n"/>
    </row>
    <row r="901" ht="12.75" customHeight="1" s="125">
      <c r="B901" s="42" t="n"/>
      <c r="G901" s="43" t="n"/>
    </row>
    <row r="902" ht="12.75" customHeight="1" s="125">
      <c r="B902" s="42" t="n"/>
      <c r="G902" s="43" t="n"/>
    </row>
    <row r="903" ht="12.75" customHeight="1" s="125">
      <c r="B903" s="42" t="n"/>
      <c r="G903" s="43" t="n"/>
    </row>
    <row r="904" ht="12.75" customHeight="1" s="125">
      <c r="B904" s="42" t="n"/>
      <c r="G904" s="43" t="n"/>
    </row>
    <row r="905" ht="12.75" customHeight="1" s="125">
      <c r="B905" s="42" t="n"/>
      <c r="G905" s="43" t="n"/>
    </row>
    <row r="906" ht="12.75" customHeight="1" s="125">
      <c r="B906" s="42" t="n"/>
      <c r="G906" s="43" t="n"/>
    </row>
    <row r="907" ht="12.75" customHeight="1" s="125">
      <c r="B907" s="42" t="n"/>
      <c r="G907" s="43" t="n"/>
    </row>
    <row r="908" ht="12.75" customHeight="1" s="125">
      <c r="B908" s="42" t="n"/>
      <c r="G908" s="43" t="n"/>
    </row>
    <row r="909" ht="12.75" customHeight="1" s="125">
      <c r="B909" s="42" t="n"/>
      <c r="G909" s="43" t="n"/>
    </row>
    <row r="910" ht="12.75" customHeight="1" s="125">
      <c r="B910" s="42" t="n"/>
      <c r="G910" s="43" t="n"/>
    </row>
    <row r="911" ht="12.75" customHeight="1" s="125">
      <c r="B911" s="42" t="n"/>
      <c r="G911" s="43" t="n"/>
    </row>
    <row r="912" ht="12.75" customHeight="1" s="125">
      <c r="B912" s="42" t="n"/>
      <c r="G912" s="43" t="n"/>
    </row>
    <row r="913" ht="12.75" customHeight="1" s="125">
      <c r="B913" s="42" t="n"/>
      <c r="G913" s="43" t="n"/>
    </row>
    <row r="914" ht="12.75" customHeight="1" s="125">
      <c r="B914" s="42" t="n"/>
      <c r="G914" s="43" t="n"/>
    </row>
    <row r="915" ht="12.75" customHeight="1" s="125">
      <c r="B915" s="42" t="n"/>
      <c r="G915" s="43" t="n"/>
    </row>
    <row r="916" ht="12.75" customHeight="1" s="125">
      <c r="B916" s="42" t="n"/>
      <c r="G916" s="43" t="n"/>
    </row>
    <row r="917" ht="12.75" customHeight="1" s="125">
      <c r="B917" s="42" t="n"/>
      <c r="G917" s="43" t="n"/>
    </row>
    <row r="918" ht="12.75" customHeight="1" s="125">
      <c r="B918" s="42" t="n"/>
      <c r="G918" s="43" t="n"/>
    </row>
    <row r="919" ht="12.75" customHeight="1" s="125">
      <c r="B919" s="42" t="n"/>
      <c r="G919" s="43" t="n"/>
    </row>
    <row r="920" ht="12.75" customHeight="1" s="125">
      <c r="B920" s="42" t="n"/>
      <c r="G920" s="43" t="n"/>
    </row>
    <row r="921" ht="12.75" customHeight="1" s="125">
      <c r="B921" s="42" t="n"/>
      <c r="G921" s="43" t="n"/>
    </row>
    <row r="922" ht="12.75" customHeight="1" s="125">
      <c r="B922" s="42" t="n"/>
      <c r="G922" s="43" t="n"/>
    </row>
    <row r="923" ht="12.75" customHeight="1" s="125">
      <c r="B923" s="42" t="n"/>
      <c r="G923" s="43" t="n"/>
    </row>
    <row r="924" ht="12.75" customHeight="1" s="125">
      <c r="B924" s="42" t="n"/>
      <c r="G924" s="43" t="n"/>
    </row>
    <row r="925" ht="12.75" customHeight="1" s="125">
      <c r="B925" s="42" t="n"/>
      <c r="G925" s="43" t="n"/>
    </row>
    <row r="926" ht="12.75" customHeight="1" s="125">
      <c r="B926" s="42" t="n"/>
      <c r="G926" s="43" t="n"/>
    </row>
    <row r="927" ht="12.75" customHeight="1" s="125">
      <c r="B927" s="42" t="n"/>
      <c r="G927" s="43" t="n"/>
    </row>
    <row r="928" ht="12.75" customHeight="1" s="125">
      <c r="B928" s="42" t="n"/>
      <c r="G928" s="43" t="n"/>
    </row>
    <row r="929" ht="12.75" customHeight="1" s="125">
      <c r="B929" s="42" t="n"/>
      <c r="G929" s="43" t="n"/>
    </row>
    <row r="930" ht="12.75" customHeight="1" s="125">
      <c r="B930" s="42" t="n"/>
      <c r="G930" s="43" t="n"/>
    </row>
    <row r="931" ht="12.75" customHeight="1" s="125">
      <c r="B931" s="42" t="n"/>
      <c r="G931" s="43" t="n"/>
    </row>
    <row r="932" ht="12.75" customHeight="1" s="125">
      <c r="B932" s="42" t="n"/>
      <c r="G932" s="43" t="n"/>
    </row>
    <row r="933" ht="12.75" customHeight="1" s="125">
      <c r="B933" s="42" t="n"/>
      <c r="G933" s="43" t="n"/>
    </row>
    <row r="934" ht="12.75" customHeight="1" s="125">
      <c r="B934" s="42" t="n"/>
      <c r="G934" s="43" t="n"/>
    </row>
    <row r="935" ht="12.75" customHeight="1" s="125">
      <c r="B935" s="42" t="n"/>
      <c r="G935" s="43" t="n"/>
    </row>
    <row r="936" ht="12.75" customHeight="1" s="125">
      <c r="B936" s="42" t="n"/>
      <c r="G936" s="43" t="n"/>
    </row>
    <row r="937" ht="12.75" customHeight="1" s="125">
      <c r="B937" s="42" t="n"/>
      <c r="G937" s="43" t="n"/>
    </row>
    <row r="938" ht="12.75" customHeight="1" s="125">
      <c r="B938" s="42" t="n"/>
      <c r="G938" s="43" t="n"/>
    </row>
    <row r="939" ht="12.75" customHeight="1" s="125">
      <c r="B939" s="42" t="n"/>
      <c r="G939" s="43" t="n"/>
    </row>
    <row r="940" ht="12.75" customHeight="1" s="125">
      <c r="B940" s="42" t="n"/>
      <c r="G940" s="43" t="n"/>
    </row>
    <row r="941" ht="12.75" customHeight="1" s="125">
      <c r="B941" s="42" t="n"/>
      <c r="G941" s="43" t="n"/>
    </row>
    <row r="942" ht="12.75" customHeight="1" s="125">
      <c r="B942" s="42" t="n"/>
      <c r="G942" s="43" t="n"/>
    </row>
    <row r="943" ht="12.75" customHeight="1" s="125">
      <c r="B943" s="42" t="n"/>
      <c r="G943" s="43" t="n"/>
    </row>
    <row r="944" ht="12.75" customHeight="1" s="125">
      <c r="B944" s="42" t="n"/>
      <c r="G944" s="43" t="n"/>
    </row>
    <row r="945" ht="12.75" customHeight="1" s="125">
      <c r="B945" s="42" t="n"/>
      <c r="G945" s="43" t="n"/>
    </row>
    <row r="946" ht="12.75" customHeight="1" s="125">
      <c r="B946" s="42" t="n"/>
      <c r="G946" s="43" t="n"/>
    </row>
    <row r="947" ht="12.75" customHeight="1" s="125">
      <c r="B947" s="42" t="n"/>
      <c r="G947" s="43" t="n"/>
    </row>
    <row r="948" ht="12.75" customHeight="1" s="125">
      <c r="B948" s="42" t="n"/>
      <c r="G948" s="43" t="n"/>
    </row>
    <row r="949" ht="12.75" customHeight="1" s="125">
      <c r="B949" s="42" t="n"/>
      <c r="G949" s="43" t="n"/>
    </row>
    <row r="950" ht="12.75" customHeight="1" s="125">
      <c r="B950" s="42" t="n"/>
      <c r="G950" s="43" t="n"/>
    </row>
    <row r="951" ht="12.75" customHeight="1" s="125">
      <c r="B951" s="42" t="n"/>
      <c r="G951" s="43" t="n"/>
    </row>
    <row r="952" ht="12.75" customHeight="1" s="125">
      <c r="B952" s="42" t="n"/>
      <c r="G952" s="43" t="n"/>
    </row>
    <row r="953" ht="12.75" customHeight="1" s="125">
      <c r="B953" s="42" t="n"/>
      <c r="G953" s="43" t="n"/>
    </row>
    <row r="954" ht="12.75" customHeight="1" s="125">
      <c r="B954" s="42" t="n"/>
      <c r="G954" s="43" t="n"/>
    </row>
    <row r="955" ht="12.75" customHeight="1" s="125">
      <c r="B955" s="42" t="n"/>
      <c r="G955" s="43" t="n"/>
    </row>
    <row r="956" ht="12.75" customHeight="1" s="125">
      <c r="B956" s="42" t="n"/>
      <c r="G956" s="43" t="n"/>
    </row>
    <row r="957" ht="12.75" customHeight="1" s="125">
      <c r="B957" s="42" t="n"/>
      <c r="G957" s="43" t="n"/>
    </row>
    <row r="958" ht="12.75" customHeight="1" s="125">
      <c r="B958" s="42" t="n"/>
      <c r="G958" s="43" t="n"/>
    </row>
    <row r="959" ht="12.75" customHeight="1" s="125">
      <c r="B959" s="42" t="n"/>
      <c r="G959" s="43" t="n"/>
    </row>
    <row r="960" ht="12.75" customHeight="1" s="125">
      <c r="B960" s="42" t="n"/>
      <c r="G960" s="43" t="n"/>
    </row>
    <row r="961" ht="12.75" customHeight="1" s="125">
      <c r="B961" s="42" t="n"/>
      <c r="G961" s="43" t="n"/>
    </row>
    <row r="962" ht="12.75" customHeight="1" s="125">
      <c r="B962" s="42" t="n"/>
      <c r="G962" s="43" t="n"/>
    </row>
    <row r="963" ht="12.75" customHeight="1" s="125">
      <c r="B963" s="42" t="n"/>
      <c r="G963" s="43" t="n"/>
    </row>
    <row r="964" ht="12.75" customHeight="1" s="125">
      <c r="B964" s="42" t="n"/>
      <c r="G964" s="43" t="n"/>
    </row>
    <row r="965" ht="12.75" customHeight="1" s="125">
      <c r="B965" s="42" t="n"/>
      <c r="G965" s="43" t="n"/>
    </row>
    <row r="966" ht="12.75" customHeight="1" s="125">
      <c r="B966" s="42" t="n"/>
      <c r="G966" s="43" t="n"/>
    </row>
    <row r="967" ht="12.75" customHeight="1" s="125">
      <c r="B967" s="42" t="n"/>
      <c r="G967" s="43" t="n"/>
    </row>
    <row r="968" ht="12.75" customHeight="1" s="125">
      <c r="B968" s="42" t="n"/>
      <c r="G968" s="43" t="n"/>
    </row>
    <row r="969" ht="12.75" customHeight="1" s="125">
      <c r="B969" s="42" t="n"/>
      <c r="G969" s="43" t="n"/>
    </row>
    <row r="970" ht="12.75" customHeight="1" s="125">
      <c r="B970" s="42" t="n"/>
      <c r="G970" s="43" t="n"/>
    </row>
    <row r="971" ht="12.75" customHeight="1" s="125">
      <c r="B971" s="42" t="n"/>
      <c r="G971" s="43" t="n"/>
    </row>
    <row r="972" ht="12.75" customHeight="1" s="125">
      <c r="B972" s="42" t="n"/>
      <c r="G972" s="43" t="n"/>
    </row>
    <row r="973" ht="12.75" customHeight="1" s="125">
      <c r="B973" s="42" t="n"/>
      <c r="G973" s="43" t="n"/>
    </row>
    <row r="974" ht="12.75" customHeight="1" s="125">
      <c r="B974" s="42" t="n"/>
      <c r="G974" s="43" t="n"/>
    </row>
    <row r="975" ht="12.75" customHeight="1" s="125">
      <c r="B975" s="42" t="n"/>
      <c r="G975" s="43" t="n"/>
    </row>
    <row r="976" ht="12.75" customHeight="1" s="125">
      <c r="B976" s="42" t="n"/>
      <c r="G976" s="43" t="n"/>
    </row>
    <row r="977" ht="12.75" customHeight="1" s="125">
      <c r="B977" s="42" t="n"/>
      <c r="G977" s="43" t="n"/>
    </row>
    <row r="978" ht="12.75" customHeight="1" s="125">
      <c r="B978" s="42" t="n"/>
      <c r="G978" s="43" t="n"/>
    </row>
    <row r="979" ht="12.75" customHeight="1" s="125">
      <c r="B979" s="42" t="n"/>
      <c r="G979" s="43" t="n"/>
    </row>
    <row r="980" ht="12.75" customHeight="1" s="125">
      <c r="B980" s="42" t="n"/>
      <c r="G980" s="43" t="n"/>
    </row>
    <row r="981" ht="12.75" customHeight="1" s="125">
      <c r="B981" s="42" t="n"/>
      <c r="G981" s="43" t="n"/>
    </row>
    <row r="982" ht="12.75" customHeight="1" s="125">
      <c r="B982" s="42" t="n"/>
      <c r="G982" s="43" t="n"/>
    </row>
    <row r="983" ht="12.75" customHeight="1" s="125">
      <c r="B983" s="42" t="n"/>
      <c r="G983" s="43" t="n"/>
    </row>
    <row r="984" ht="12.75" customHeight="1" s="125">
      <c r="B984" s="42" t="n"/>
      <c r="G984" s="43" t="n"/>
    </row>
    <row r="985" ht="12.75" customHeight="1" s="125">
      <c r="B985" s="42" t="n"/>
      <c r="G985" s="43" t="n"/>
    </row>
    <row r="986" ht="12.75" customHeight="1" s="125">
      <c r="B986" s="42" t="n"/>
      <c r="G986" s="43" t="n"/>
    </row>
    <row r="987" ht="12.75" customHeight="1" s="125">
      <c r="B987" s="42" t="n"/>
      <c r="G987" s="43" t="n"/>
    </row>
    <row r="988" ht="12.75" customHeight="1" s="125">
      <c r="B988" s="42" t="n"/>
      <c r="G988" s="43" t="n"/>
    </row>
    <row r="989" ht="12.75" customHeight="1" s="125">
      <c r="B989" s="42" t="n"/>
      <c r="G989" s="43" t="n"/>
    </row>
    <row r="990" ht="12.75" customHeight="1" s="125">
      <c r="B990" s="42" t="n"/>
      <c r="G990" s="43" t="n"/>
    </row>
    <row r="991" ht="12.75" customHeight="1" s="125">
      <c r="B991" s="42" t="n"/>
      <c r="G991" s="43" t="n"/>
    </row>
    <row r="992" ht="12.75" customHeight="1" s="125">
      <c r="B992" s="42" t="n"/>
      <c r="G992" s="43" t="n"/>
    </row>
    <row r="993" ht="12.75" customHeight="1" s="125">
      <c r="B993" s="42" t="n"/>
      <c r="G993" s="43" t="n"/>
    </row>
    <row r="994" ht="12.75" customHeight="1" s="125">
      <c r="B994" s="42" t="n"/>
      <c r="G994" s="43" t="n"/>
    </row>
    <row r="995" ht="12.75" customHeight="1" s="125">
      <c r="B995" s="42" t="n"/>
      <c r="G995" s="43" t="n"/>
    </row>
    <row r="996" ht="12.75" customHeight="1" s="125">
      <c r="B996" s="42" t="n"/>
      <c r="G996" s="43" t="n"/>
    </row>
    <row r="997" ht="12.75" customHeight="1" s="125">
      <c r="B997" s="42" t="n"/>
      <c r="G997" s="43" t="n"/>
    </row>
    <row r="998" ht="12.75" customHeight="1" s="125">
      <c r="B998" s="42" t="n"/>
      <c r="G998" s="43" t="n"/>
    </row>
    <row r="999" ht="12.75" customHeight="1" s="125">
      <c r="B999" s="42" t="n"/>
      <c r="G999" s="43" t="n"/>
    </row>
    <row r="1000" ht="12.75" customHeight="1" s="125">
      <c r="B1000" s="42" t="n"/>
      <c r="G1000" s="43" t="n"/>
    </row>
  </sheetData>
  <mergeCells count="41">
    <mergeCell ref="B39:B45"/>
    <mergeCell ref="I53:I59"/>
    <mergeCell ref="I25:I31"/>
    <mergeCell ref="B88:B94"/>
    <mergeCell ref="B60:B66"/>
    <mergeCell ref="I102:I108"/>
    <mergeCell ref="I18:I24"/>
    <mergeCell ref="B53:B59"/>
    <mergeCell ref="C2:E2"/>
    <mergeCell ref="I67:I73"/>
    <mergeCell ref="I123:I129"/>
    <mergeCell ref="I39:I45"/>
    <mergeCell ref="B74:B80"/>
    <mergeCell ref="I88:I94"/>
    <mergeCell ref="I4:I10"/>
    <mergeCell ref="I60:I66"/>
    <mergeCell ref="B4:B10"/>
    <mergeCell ref="B123:B129"/>
    <mergeCell ref="L8:P8"/>
    <mergeCell ref="I81:I87"/>
    <mergeCell ref="A1:J1"/>
    <mergeCell ref="A2:B2"/>
    <mergeCell ref="H2:I2"/>
    <mergeCell ref="B95:B101"/>
    <mergeCell ref="B32:B38"/>
    <mergeCell ref="I109:I115"/>
    <mergeCell ref="I74:I80"/>
    <mergeCell ref="B109:B115"/>
    <mergeCell ref="B25:B31"/>
    <mergeCell ref="B81:B87"/>
    <mergeCell ref="I46:I52"/>
    <mergeCell ref="I11:I17"/>
    <mergeCell ref="B11:B17"/>
    <mergeCell ref="B18:B24"/>
    <mergeCell ref="I95:I101"/>
    <mergeCell ref="B46:B52"/>
    <mergeCell ref="B102:B108"/>
    <mergeCell ref="I116:I122"/>
    <mergeCell ref="I32:I38"/>
    <mergeCell ref="B116:B122"/>
    <mergeCell ref="B67:B7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E24" sqref="E24"/>
    </sheetView>
  </sheetViews>
  <sheetFormatPr baseColWidth="8" defaultColWidth="14.42578125" defaultRowHeight="15" customHeight="1"/>
  <cols>
    <col width="13.140625" customWidth="1" style="125" min="1" max="1"/>
    <col width="15.140625" customWidth="1" style="125" min="2" max="2"/>
    <col width="6.5703125" customWidth="1" style="125" min="3" max="3"/>
    <col width="10.0703125" customWidth="1" style="125" min="4" max="4"/>
    <col width="9.78515625" customWidth="1" style="125" min="5" max="5"/>
    <col width="5.85546875" customWidth="1" style="125" min="6" max="6"/>
    <col width="11.85546875" customWidth="1" style="125" min="7" max="7"/>
    <col width="15.28515625" customWidth="1" style="125" min="8" max="8"/>
    <col width="10.140625" customWidth="1" style="125" min="9" max="9"/>
    <col width="11.35546875" customWidth="1" style="125" min="10" max="10"/>
    <col width="10" customWidth="1" style="125" min="11" max="11"/>
    <col width="9.42578125" customWidth="1" style="125" min="12" max="12"/>
    <col width="12.140625" customWidth="1" style="125" min="13" max="13"/>
    <col width="12" customWidth="1" style="125" min="14" max="15"/>
    <col width="11.140625" customWidth="1" style="125" min="16" max="16"/>
    <col width="11.28515625" customWidth="1" style="125" min="17" max="17"/>
    <col width="11.140625" customWidth="1" style="125" min="18" max="18"/>
    <col width="8.7109375" customWidth="1" style="125" min="19" max="26"/>
  </cols>
  <sheetData>
    <row r="1" ht="27.75" customHeight="1" s="125">
      <c r="A1" s="136" t="inlineStr">
        <is>
          <t>🎯 漢森半馬課表配速表 — 在下方 B2 儲存格選擇你的半馬目標，整份總課表的配速會自動同步</t>
        </is>
      </c>
    </row>
    <row r="2" ht="25.5" customHeight="1" s="125">
      <c r="A2" s="62" t="inlineStr">
        <is>
          <t>目標時間 →</t>
        </is>
      </c>
      <c r="B2" s="63" t="n">
        <v>0.0625</v>
      </c>
      <c r="C2" s="163" t="inlineStr">
        <is>
          <t>← 點擊此儲存格右側的下拉箭頭，選擇你的目標成績</t>
        </is>
      </c>
    </row>
    <row r="3" ht="7.5" customHeight="1" s="125"/>
    <row r="4" ht="16.5" customHeight="1" s="125">
      <c r="A4" s="64" t="inlineStr">
        <is>
          <t>選取</t>
        </is>
      </c>
      <c r="B4" s="65" t="inlineStr">
        <is>
          <t>半馬目標時間</t>
        </is>
      </c>
      <c r="C4" s="66" t="inlineStr">
        <is>
          <t>恢復跑</t>
        </is>
      </c>
      <c r="D4" s="67" t="inlineStr">
        <is>
          <t>輕鬆有氧A</t>
        </is>
      </c>
      <c r="E4" s="67" t="inlineStr">
        <is>
          <t>輕鬆有氧B</t>
        </is>
      </c>
      <c r="F4" s="68" t="inlineStr">
        <is>
          <t>長跑</t>
        </is>
      </c>
      <c r="G4" s="69" t="inlineStr">
        <is>
          <t>節奏跑(HMP)</t>
        </is>
      </c>
      <c r="H4" s="70" t="inlineStr">
        <is>
          <t>強化跑(10K配速)</t>
        </is>
      </c>
      <c r="I4" s="71" t="inlineStr">
        <is>
          <t>5公里配速</t>
        </is>
      </c>
      <c r="J4" s="72" t="inlineStr">
        <is>
          <t>預估10K PB</t>
        </is>
      </c>
      <c r="K4" s="72" t="inlineStr">
        <is>
          <t>預估5K PB</t>
        </is>
      </c>
      <c r="L4" s="73" t="inlineStr">
        <is>
          <t>1600公尺配速</t>
        </is>
      </c>
      <c r="M4" s="73" t="inlineStr">
        <is>
          <t>1200公尺配速</t>
        </is>
      </c>
      <c r="N4" s="73" t="inlineStr">
        <is>
          <t>1000公尺配速</t>
        </is>
      </c>
      <c r="O4" s="73" t="inlineStr">
        <is>
          <t>800公尺配速</t>
        </is>
      </c>
      <c r="P4" s="73" t="inlineStr">
        <is>
          <t>600公尺配速</t>
        </is>
      </c>
      <c r="Q4" s="73" t="inlineStr">
        <is>
          <t>400公尺配速</t>
        </is>
      </c>
    </row>
    <row r="5" ht="16.5" customHeight="1" s="125">
      <c r="A5" s="74">
        <f>IF($B5=$B$2,"▶","")</f>
        <v/>
      </c>
      <c r="B5" s="75" t="n">
        <v>0.1041666666666667</v>
      </c>
      <c r="C5" s="76" t="n">
        <v>0.005995370370370371</v>
      </c>
      <c r="D5" s="77" t="n">
        <v>0.005787037037037037</v>
      </c>
      <c r="E5" s="77" t="n">
        <v>0.005567129629629629</v>
      </c>
      <c r="F5" s="78" t="n">
        <v>0.005416666666666667</v>
      </c>
      <c r="G5" s="79" t="n">
        <v>0.004930555555555555</v>
      </c>
      <c r="H5" s="80" t="n">
        <v>0.004710648148148148</v>
      </c>
      <c r="I5" s="81" t="n">
        <v>0.004525462962962963</v>
      </c>
      <c r="J5" s="82">
        <f>H5*10</f>
        <v/>
      </c>
      <c r="K5" s="83">
        <f>I5*5</f>
        <v/>
      </c>
      <c r="L5" s="84">
        <f>K5/5*1.6</f>
        <v/>
      </c>
      <c r="M5" s="84">
        <f>K5/5*1.2</f>
        <v/>
      </c>
      <c r="N5" s="84">
        <f>K5/5</f>
        <v/>
      </c>
      <c r="O5" s="84">
        <f>K5/5*0.8</f>
        <v/>
      </c>
      <c r="P5" s="84">
        <f>K5/5*0.6</f>
        <v/>
      </c>
      <c r="Q5" s="84">
        <f>K5/5*0.4</f>
        <v/>
      </c>
      <c r="S5" s="85" t="n"/>
    </row>
    <row r="6" ht="16.5" customHeight="1" s="125">
      <c r="A6" s="74">
        <f>IF($B6=$B$2,"▶","")</f>
        <v/>
      </c>
      <c r="B6" s="86" t="n">
        <v>0.1006944444444444</v>
      </c>
      <c r="C6" s="76" t="n">
        <v>0.005833333333333334</v>
      </c>
      <c r="D6" s="77" t="n">
        <v>0.005613425925925926</v>
      </c>
      <c r="E6" s="77" t="n">
        <v>0.005393518518518519</v>
      </c>
      <c r="F6" s="78" t="n">
        <v>0.005243055555555555</v>
      </c>
      <c r="G6" s="79" t="n">
        <v>0.004768518518518518</v>
      </c>
      <c r="H6" s="80" t="n">
        <v>0.004560185185185185</v>
      </c>
      <c r="I6" s="81" t="n">
        <v>0.004375</v>
      </c>
      <c r="J6" s="82">
        <f>H6*10</f>
        <v/>
      </c>
      <c r="K6" s="83">
        <f>I6*5</f>
        <v/>
      </c>
      <c r="L6" s="84">
        <f>K6/5*1.6</f>
        <v/>
      </c>
      <c r="M6" s="84">
        <f>K6/5*1.2</f>
        <v/>
      </c>
      <c r="N6" s="84">
        <f>K6/5</f>
        <v/>
      </c>
      <c r="O6" s="84">
        <f>K6/5*0.8</f>
        <v/>
      </c>
      <c r="P6" s="84">
        <f>K6/5*0.6</f>
        <v/>
      </c>
      <c r="Q6" s="84">
        <f>K6/5*0.4</f>
        <v/>
      </c>
      <c r="S6" s="85" t="n"/>
    </row>
    <row r="7" ht="16.5" customHeight="1" s="125">
      <c r="A7" s="74">
        <f>IF($B7=$B$2,"▶","")</f>
        <v/>
      </c>
      <c r="B7" s="86" t="n">
        <v>0.09722222222222222</v>
      </c>
      <c r="C7" s="76" t="n">
        <v>0.005671296296296297</v>
      </c>
      <c r="D7" s="77" t="n">
        <v>0.005451388888888889</v>
      </c>
      <c r="E7" s="77" t="n">
        <v>0.005231481481481481</v>
      </c>
      <c r="F7" s="78" t="n">
        <v>0.005081018518518519</v>
      </c>
      <c r="G7" s="79" t="n">
        <v>0.004606481481481481</v>
      </c>
      <c r="H7" s="80" t="n">
        <v>0.004398148148148148</v>
      </c>
      <c r="I7" s="81" t="n">
        <v>0.004224537037037037</v>
      </c>
      <c r="J7" s="82">
        <f>H7*10</f>
        <v/>
      </c>
      <c r="K7" s="83">
        <f>I7*5</f>
        <v/>
      </c>
      <c r="L7" s="84">
        <f>K7/5*1.6</f>
        <v/>
      </c>
      <c r="M7" s="84">
        <f>K7/5*1.2</f>
        <v/>
      </c>
      <c r="N7" s="84">
        <f>K7/5</f>
        <v/>
      </c>
      <c r="O7" s="84">
        <f>K7/5*0.8</f>
        <v/>
      </c>
      <c r="P7" s="84">
        <f>K7/5*0.6</f>
        <v/>
      </c>
      <c r="Q7" s="84">
        <f>K7/5*0.4</f>
        <v/>
      </c>
      <c r="S7" s="85" t="n"/>
    </row>
    <row r="8" ht="16.5" customHeight="1" s="125">
      <c r="A8" s="74">
        <f>IF($B8=$B$2,"▶","")</f>
        <v/>
      </c>
      <c r="B8" s="86" t="n">
        <v>0.09375</v>
      </c>
      <c r="C8" s="76" t="n">
        <v>0.005486111111111111</v>
      </c>
      <c r="D8" s="77" t="n">
        <v>0.005277777777777778</v>
      </c>
      <c r="E8" s="77" t="n">
        <v>0.005057870370370371</v>
      </c>
      <c r="F8" s="78" t="n">
        <v>0.004907407407407407</v>
      </c>
      <c r="G8" s="79" t="n">
        <v>0.00443287037037037</v>
      </c>
      <c r="H8" s="80" t="n">
        <v>0.004247685185185185</v>
      </c>
      <c r="I8" s="81" t="n">
        <v>0.004074074074074074</v>
      </c>
      <c r="J8" s="82">
        <f>H8*10</f>
        <v/>
      </c>
      <c r="K8" s="83">
        <f>I8*5</f>
        <v/>
      </c>
      <c r="L8" s="84">
        <f>K8/5*1.6</f>
        <v/>
      </c>
      <c r="M8" s="84">
        <f>K8/5*1.2</f>
        <v/>
      </c>
      <c r="N8" s="84">
        <f>K8/5</f>
        <v/>
      </c>
      <c r="O8" s="84">
        <f>K8/5*0.8</f>
        <v/>
      </c>
      <c r="P8" s="84">
        <f>K8/5*0.6</f>
        <v/>
      </c>
      <c r="Q8" s="84">
        <f>K8/5*0.4</f>
        <v/>
      </c>
      <c r="S8" s="85" t="n"/>
    </row>
    <row r="9" ht="16.5" customHeight="1" s="125">
      <c r="A9" s="74">
        <f>IF($B9=$B$2,"▶","")</f>
        <v/>
      </c>
      <c r="B9" s="86" t="n">
        <v>0.09027777777777778</v>
      </c>
      <c r="C9" s="76" t="n">
        <v>0.005324074074074074</v>
      </c>
      <c r="D9" s="77" t="n">
        <v>0.005104166666666667</v>
      </c>
      <c r="E9" s="77" t="n">
        <v>0.004884259259259259</v>
      </c>
      <c r="F9" s="78" t="n">
        <v>0.004733796296296297</v>
      </c>
      <c r="G9" s="79" t="n">
        <v>0.004270833333333333</v>
      </c>
      <c r="H9" s="80" t="n">
        <v>0.004085648148148148</v>
      </c>
      <c r="I9" s="81" t="n">
        <v>0.003923611111111111</v>
      </c>
      <c r="J9" s="82">
        <f>H9*10</f>
        <v/>
      </c>
      <c r="K9" s="83">
        <f>I9*5</f>
        <v/>
      </c>
      <c r="L9" s="84">
        <f>K9/5*1.6</f>
        <v/>
      </c>
      <c r="M9" s="84">
        <f>K9/5*1.2</f>
        <v/>
      </c>
      <c r="N9" s="84">
        <f>K9/5</f>
        <v/>
      </c>
      <c r="O9" s="84">
        <f>K9/5*0.8</f>
        <v/>
      </c>
      <c r="P9" s="84">
        <f>K9/5*0.6</f>
        <v/>
      </c>
      <c r="Q9" s="84">
        <f>K9/5*0.4</f>
        <v/>
      </c>
      <c r="S9" s="85" t="n"/>
    </row>
    <row r="10" ht="16.5" customHeight="1" s="125">
      <c r="A10" s="74">
        <f>IF($B10=$B$2,"▶","")</f>
        <v/>
      </c>
      <c r="B10" s="86" t="n">
        <v>0.08680555555555555</v>
      </c>
      <c r="C10" s="76" t="n">
        <v>0.005138888888888889</v>
      </c>
      <c r="D10" s="77" t="n">
        <v>0.004930555555555555</v>
      </c>
      <c r="E10" s="77" t="n">
        <v>0.004710648148148148</v>
      </c>
      <c r="F10" s="78" t="n">
        <v>0.004560185185185185</v>
      </c>
      <c r="G10" s="79" t="n">
        <v>0.004108796296296296</v>
      </c>
      <c r="H10" s="80" t="n">
        <v>0.003923611111111111</v>
      </c>
      <c r="I10" s="81" t="n">
        <v>0.003773148148148148</v>
      </c>
      <c r="J10" s="82">
        <f>H10*10</f>
        <v/>
      </c>
      <c r="K10" s="83">
        <f>I10*5</f>
        <v/>
      </c>
      <c r="L10" s="84">
        <f>K10/5*1.6</f>
        <v/>
      </c>
      <c r="M10" s="84">
        <f>K10/5*1.2</f>
        <v/>
      </c>
      <c r="N10" s="84">
        <f>K10/5</f>
        <v/>
      </c>
      <c r="O10" s="84">
        <f>K10/5*0.8</f>
        <v/>
      </c>
      <c r="P10" s="84">
        <f>K10/5*0.6</f>
        <v/>
      </c>
      <c r="Q10" s="84">
        <f>K10/5*0.4</f>
        <v/>
      </c>
      <c r="S10" s="85" t="n"/>
    </row>
    <row r="11" ht="16.5" customHeight="1" s="125">
      <c r="A11" s="74">
        <f>IF($B11=$B$2,"▶","")</f>
        <v/>
      </c>
      <c r="B11" s="86" t="n">
        <v>0.08333333333333333</v>
      </c>
      <c r="C11" s="76" t="n">
        <v>0.004976851851851852</v>
      </c>
      <c r="D11" s="77" t="n">
        <v>0.004756944444444445</v>
      </c>
      <c r="E11" s="77" t="n">
        <v>0.004537037037037037</v>
      </c>
      <c r="F11" s="78" t="n">
        <v>0.004386574074074074</v>
      </c>
      <c r="G11" s="79" t="n">
        <v>0.003946759259259259</v>
      </c>
      <c r="H11" s="80" t="n">
        <v>0.003773148148148148</v>
      </c>
      <c r="I11" s="81" t="n">
        <v>0.003622685185185185</v>
      </c>
      <c r="J11" s="82">
        <f>H11*10</f>
        <v/>
      </c>
      <c r="K11" s="83">
        <f>I11*5</f>
        <v/>
      </c>
      <c r="L11" s="84">
        <f>K11/5*1.6</f>
        <v/>
      </c>
      <c r="M11" s="84">
        <f>K11/5*1.2</f>
        <v/>
      </c>
      <c r="N11" s="84">
        <f>K11/5</f>
        <v/>
      </c>
      <c r="O11" s="84">
        <f>K11/5*0.8</f>
        <v/>
      </c>
      <c r="P11" s="84">
        <f>K11/5*0.6</f>
        <v/>
      </c>
      <c r="Q11" s="84">
        <f>K11/5*0.4</f>
        <v/>
      </c>
      <c r="S11" s="85" t="n"/>
    </row>
    <row r="12" ht="16.5" customHeight="1" s="125">
      <c r="A12" s="74">
        <f>IF($B12=$B$2,"▶","")</f>
        <v/>
      </c>
      <c r="B12" s="86" t="n">
        <v>0.0798611111111111</v>
      </c>
      <c r="C12" s="76" t="n">
        <v>0.004791666666666666</v>
      </c>
      <c r="D12" s="77" t="n">
        <v>0.004583333333333333</v>
      </c>
      <c r="E12" s="77" t="n">
        <v>0.004363425925925926</v>
      </c>
      <c r="F12" s="78" t="n">
        <v>0.004212962962962963</v>
      </c>
      <c r="G12" s="79" t="n">
        <v>0.003784722222222222</v>
      </c>
      <c r="H12" s="80" t="n">
        <v>0.003611111111111111</v>
      </c>
      <c r="I12" s="81" t="n">
        <v>0.003460648148148148</v>
      </c>
      <c r="J12" s="82">
        <f>H12*10</f>
        <v/>
      </c>
      <c r="K12" s="83">
        <f>I12*5</f>
        <v/>
      </c>
      <c r="L12" s="84">
        <f>K12/5*1.6</f>
        <v/>
      </c>
      <c r="M12" s="84">
        <f>K12/5*1.2</f>
        <v/>
      </c>
      <c r="N12" s="84">
        <f>K12/5</f>
        <v/>
      </c>
      <c r="O12" s="84">
        <f>K12/5*0.8</f>
        <v/>
      </c>
      <c r="P12" s="84">
        <f>K12/5*0.6</f>
        <v/>
      </c>
      <c r="Q12" s="84">
        <f>K12/5*0.4</f>
        <v/>
      </c>
      <c r="S12" s="85" t="n"/>
    </row>
    <row r="13" ht="16.5" customHeight="1" s="125">
      <c r="A13" s="74">
        <f>IF($B13=$B$2,"▶","")</f>
        <v/>
      </c>
      <c r="B13" s="86" t="n">
        <v>0.0763888888888889</v>
      </c>
      <c r="C13" s="76" t="n">
        <v>0.004629629629629629</v>
      </c>
      <c r="D13" s="77" t="n">
        <v>0.004421296296296296</v>
      </c>
      <c r="E13" s="77" t="n">
        <v>0.004201388888888889</v>
      </c>
      <c r="F13" s="78" t="n">
        <v>0.004050925925925926</v>
      </c>
      <c r="G13" s="79" t="n">
        <v>0.003611111111111111</v>
      </c>
      <c r="H13" s="80" t="n">
        <v>0.003460648148148148</v>
      </c>
      <c r="I13" s="81" t="n">
        <v>0.003310185185185185</v>
      </c>
      <c r="J13" s="82">
        <f>H13*10</f>
        <v/>
      </c>
      <c r="K13" s="83">
        <f>I13*5</f>
        <v/>
      </c>
      <c r="L13" s="84">
        <f>K13/5*1.6</f>
        <v/>
      </c>
      <c r="M13" s="84">
        <f>K13/5*1.2</f>
        <v/>
      </c>
      <c r="N13" s="84">
        <f>K13/5</f>
        <v/>
      </c>
      <c r="O13" s="84">
        <f>K13/5*0.8</f>
        <v/>
      </c>
      <c r="P13" s="84">
        <f>K13/5*0.6</f>
        <v/>
      </c>
      <c r="Q13" s="84">
        <f>K13/5*0.4</f>
        <v/>
      </c>
      <c r="S13" s="85" t="n"/>
    </row>
    <row r="14" ht="16.5" customHeight="1" s="125">
      <c r="A14" s="74">
        <f>IF($B14=$B$2,"▶","")</f>
        <v/>
      </c>
      <c r="B14" s="86" t="n">
        <v>0.07291666666666667</v>
      </c>
      <c r="C14" s="76" t="n">
        <v>0.004467592592592592</v>
      </c>
      <c r="D14" s="77" t="n">
        <v>0.004247685185185185</v>
      </c>
      <c r="E14" s="77" t="n">
        <v>0.004027777777777778</v>
      </c>
      <c r="F14" s="78" t="n">
        <v>0.003877314814814815</v>
      </c>
      <c r="G14" s="79" t="n">
        <v>0.003449074074074074</v>
      </c>
      <c r="H14" s="80" t="n">
        <v>0.003298611111111111</v>
      </c>
      <c r="I14" s="81" t="n">
        <v>0.003159722222222222</v>
      </c>
      <c r="J14" s="82">
        <f>H14*10</f>
        <v/>
      </c>
      <c r="K14" s="83">
        <f>I14*5</f>
        <v/>
      </c>
      <c r="L14" s="84">
        <f>K14/5*1.6</f>
        <v/>
      </c>
      <c r="M14" s="84">
        <f>K14/5*1.2</f>
        <v/>
      </c>
      <c r="N14" s="84">
        <f>K14/5</f>
        <v/>
      </c>
      <c r="O14" s="84">
        <f>K14/5*0.8</f>
        <v/>
      </c>
      <c r="P14" s="84">
        <f>K14/5*0.6</f>
        <v/>
      </c>
      <c r="Q14" s="84">
        <f>K14/5*0.4</f>
        <v/>
      </c>
      <c r="S14" s="85" t="n"/>
    </row>
    <row r="15" ht="16.5" customHeight="1" s="125">
      <c r="A15" s="74">
        <f>IF($B15=$B$2,"▶","")</f>
        <v/>
      </c>
      <c r="B15" s="86" t="n">
        <v>0.06944444444444445</v>
      </c>
      <c r="C15" s="76" t="n">
        <v>0.004282407407407408</v>
      </c>
      <c r="D15" s="77" t="n">
        <v>0.004074074074074074</v>
      </c>
      <c r="E15" s="77" t="n">
        <v>0.003854166666666667</v>
      </c>
      <c r="F15" s="78" t="n">
        <v>0.003703703703703704</v>
      </c>
      <c r="G15" s="79" t="n">
        <v>0.003287037037037037</v>
      </c>
      <c r="H15" s="80" t="n">
        <v>0.003136574074074074</v>
      </c>
      <c r="I15" s="81" t="n">
        <v>0.003009259259259259</v>
      </c>
      <c r="J15" s="82">
        <f>H15*10</f>
        <v/>
      </c>
      <c r="K15" s="83">
        <f>I15*5</f>
        <v/>
      </c>
      <c r="L15" s="84">
        <f>K15/5*1.6</f>
        <v/>
      </c>
      <c r="M15" s="84">
        <f>K15/5*1.2</f>
        <v/>
      </c>
      <c r="N15" s="84">
        <f>K15/5</f>
        <v/>
      </c>
      <c r="O15" s="84">
        <f>K15/5*0.8</f>
        <v/>
      </c>
      <c r="P15" s="84">
        <f>K15/5*0.6</f>
        <v/>
      </c>
      <c r="Q15" s="84">
        <f>K15/5*0.4</f>
        <v/>
      </c>
      <c r="S15" s="85" t="n"/>
    </row>
    <row r="16" ht="16.5" customHeight="1" s="125">
      <c r="A16" s="74">
        <f>IF($B16=$B$2,"▶","")</f>
        <v/>
      </c>
      <c r="B16" s="86" t="n">
        <v>0.06597222222222222</v>
      </c>
      <c r="C16" s="76" t="n">
        <v>0.004120370370370371</v>
      </c>
      <c r="D16" s="77" t="n">
        <v>0.003900462962962963</v>
      </c>
      <c r="E16" s="77" t="n">
        <v>0.003680555555555555</v>
      </c>
      <c r="F16" s="78" t="n">
        <v>0.003530092592592592</v>
      </c>
      <c r="G16" s="79" t="n">
        <v>0.003125</v>
      </c>
      <c r="H16" s="80" t="n">
        <v>0.002986111111111111</v>
      </c>
      <c r="I16" s="81" t="n">
        <v>0.002858796296296296</v>
      </c>
      <c r="J16" s="82">
        <f>H16*10</f>
        <v/>
      </c>
      <c r="K16" s="83">
        <f>I16*5</f>
        <v/>
      </c>
      <c r="L16" s="84">
        <f>K16/5*1.6</f>
        <v/>
      </c>
      <c r="M16" s="84">
        <f>K16/5*1.2</f>
        <v/>
      </c>
      <c r="N16" s="84">
        <f>K16/5</f>
        <v/>
      </c>
      <c r="O16" s="84">
        <f>K16/5*0.8</f>
        <v/>
      </c>
      <c r="P16" s="84">
        <f>K16/5*0.6</f>
        <v/>
      </c>
      <c r="Q16" s="84">
        <f>K16/5*0.4</f>
        <v/>
      </c>
      <c r="S16" s="85" t="n"/>
    </row>
    <row r="17" ht="16.5" customHeight="1" s="125">
      <c r="A17" s="74">
        <f>IF($B17=$B$2,"▶","")</f>
        <v/>
      </c>
      <c r="B17" s="86" t="n">
        <v>0.0625</v>
      </c>
      <c r="C17" s="76" t="n">
        <v>0.003935185185185185</v>
      </c>
      <c r="D17" s="77" t="n">
        <v>0.003726851851851852</v>
      </c>
      <c r="E17" s="77" t="n">
        <v>0.003506944444444444</v>
      </c>
      <c r="F17" s="78" t="n">
        <v>0.003356481481481482</v>
      </c>
      <c r="G17" s="79" t="n">
        <v>0.002951388888888889</v>
      </c>
      <c r="H17" s="80" t="n">
        <v>0.002824074074074074</v>
      </c>
      <c r="I17" s="81" t="n">
        <v>0.002708333333333333</v>
      </c>
      <c r="J17" s="82">
        <f>H17*10</f>
        <v/>
      </c>
      <c r="K17" s="83">
        <f>I17*5</f>
        <v/>
      </c>
      <c r="L17" s="84">
        <f>K17/5*1.6</f>
        <v/>
      </c>
      <c r="M17" s="84">
        <f>K17/5*1.2</f>
        <v/>
      </c>
      <c r="N17" s="84">
        <f>K17/5</f>
        <v/>
      </c>
      <c r="O17" s="84">
        <f>K17/5*0.8</f>
        <v/>
      </c>
      <c r="P17" s="84">
        <f>K17/5*0.6</f>
        <v/>
      </c>
      <c r="Q17" s="84">
        <f>K17/5*0.4</f>
        <v/>
      </c>
      <c r="S17" s="85" t="n"/>
    </row>
    <row r="18" ht="16.5" customHeight="1" s="125">
      <c r="A18" s="74">
        <f>IF($B18=$B$2,"▶","")</f>
        <v/>
      </c>
      <c r="B18" s="86" t="n">
        <v>0.05902777777777778</v>
      </c>
      <c r="C18" s="76" t="n">
        <v>0.003773148148148148</v>
      </c>
      <c r="D18" s="77" t="n">
        <v>0.003564814814814815</v>
      </c>
      <c r="E18" s="77" t="n">
        <v>0.003344907407407408</v>
      </c>
      <c r="F18" s="78" t="n">
        <v>0.003194444444444445</v>
      </c>
      <c r="G18" s="79" t="n">
        <v>0.002789351851851852</v>
      </c>
      <c r="H18" s="80" t="n">
        <v>0.002673611111111111</v>
      </c>
      <c r="I18" s="81" t="n">
        <v>0.002557870370370371</v>
      </c>
      <c r="J18" s="82">
        <f>H18*10</f>
        <v/>
      </c>
      <c r="K18" s="83">
        <f>I18*5</f>
        <v/>
      </c>
      <c r="L18" s="84">
        <f>K18/5*1.6</f>
        <v/>
      </c>
      <c r="M18" s="84">
        <f>K18/5*1.2</f>
        <v/>
      </c>
      <c r="N18" s="84">
        <f>K18/5</f>
        <v/>
      </c>
      <c r="O18" s="84">
        <f>K18/5*0.8</f>
        <v/>
      </c>
      <c r="P18" s="84">
        <f>K18/5*0.6</f>
        <v/>
      </c>
      <c r="Q18" s="84">
        <f>K18/5*0.4</f>
        <v/>
      </c>
      <c r="S18" s="85" t="n"/>
    </row>
    <row r="19" ht="16.5" customHeight="1" s="125">
      <c r="A19" s="74">
        <f>IF($B19=$B$2,"▶","")</f>
        <v/>
      </c>
      <c r="B19" s="86" t="n">
        <v>0.05555555555555555</v>
      </c>
      <c r="C19" s="76" t="n">
        <v>0.003611111111111111</v>
      </c>
      <c r="D19" s="77" t="n">
        <v>0.003391203703703704</v>
      </c>
      <c r="E19" s="77" t="n">
        <v>0.003171296296296296</v>
      </c>
      <c r="F19" s="78" t="n">
        <v>0.003020833333333333</v>
      </c>
      <c r="G19" s="79" t="n">
        <v>0.002627314814814815</v>
      </c>
      <c r="H19" s="80" t="n">
        <v>0.002511574074074074</v>
      </c>
      <c r="I19" s="81" t="n">
        <v>0.002407407407407408</v>
      </c>
      <c r="J19" s="82">
        <f>H19*10</f>
        <v/>
      </c>
      <c r="K19" s="83">
        <f>I19*5</f>
        <v/>
      </c>
      <c r="L19" s="84">
        <f>K19/5*1.6</f>
        <v/>
      </c>
      <c r="M19" s="84">
        <f>K19/5*1.2</f>
        <v/>
      </c>
      <c r="N19" s="84">
        <f>K19/5</f>
        <v/>
      </c>
      <c r="O19" s="84">
        <f>K19/5*0.8</f>
        <v/>
      </c>
      <c r="P19" s="84">
        <f>K19/5*0.6</f>
        <v/>
      </c>
      <c r="Q19" s="84">
        <f>K19/5*0.4</f>
        <v/>
      </c>
      <c r="S19" s="85" t="n"/>
    </row>
    <row r="20" ht="16.5" customHeight="1" s="125">
      <c r="A20" s="74">
        <f>IF($B20=$B$2,"▶","")</f>
        <v/>
      </c>
      <c r="B20" s="86" t="n">
        <v>0.05208333333333334</v>
      </c>
      <c r="C20" s="76" t="n">
        <v>0.003425925925925926</v>
      </c>
      <c r="D20" s="77" t="n">
        <v>0.003217592592592593</v>
      </c>
      <c r="E20" s="77" t="n">
        <v>0.002997685185185185</v>
      </c>
      <c r="F20" s="78" t="n">
        <v>0.002847222222222222</v>
      </c>
      <c r="G20" s="79" t="n">
        <v>0.002465277777777778</v>
      </c>
      <c r="H20" s="80" t="n">
        <v>0.002349537037037037</v>
      </c>
      <c r="I20" s="81" t="n">
        <v>0.002256944444444444</v>
      </c>
      <c r="J20" s="82">
        <f>H20*10</f>
        <v/>
      </c>
      <c r="K20" s="83">
        <f>I20*5</f>
        <v/>
      </c>
      <c r="L20" s="84">
        <f>K20/5*1.6</f>
        <v/>
      </c>
      <c r="M20" s="84">
        <f>K20/5*1.2</f>
        <v/>
      </c>
      <c r="N20" s="84">
        <f>K20/5</f>
        <v/>
      </c>
      <c r="O20" s="84">
        <f>K20/5*0.8</f>
        <v/>
      </c>
      <c r="P20" s="84">
        <f>K20/5*0.6</f>
        <v/>
      </c>
      <c r="Q20" s="84">
        <f>K20/5*0.4</f>
        <v/>
      </c>
      <c r="S20" s="85" t="n"/>
    </row>
    <row r="21" ht="16.5" customHeight="1" s="125">
      <c r="A21" s="74">
        <f>IF($B21=$B$2,"▶","")</f>
        <v/>
      </c>
      <c r="B21" s="86" t="n">
        <v>0.04861111111111111</v>
      </c>
      <c r="C21" s="76" t="n">
        <v>0.003263888888888889</v>
      </c>
      <c r="D21" s="77" t="n">
        <v>0.003043981481481481</v>
      </c>
      <c r="E21" s="77" t="n">
        <v>0.002824074074074074</v>
      </c>
      <c r="F21" s="78" t="n">
        <v>0.002673611111111111</v>
      </c>
      <c r="G21" s="79" t="n">
        <v>0.002303240740740741</v>
      </c>
      <c r="H21" s="80" t="n">
        <v>0.002199074074074074</v>
      </c>
      <c r="I21" s="81" t="n">
        <v>0.002106481481481481</v>
      </c>
      <c r="J21" s="82">
        <f>H21*10</f>
        <v/>
      </c>
      <c r="K21" s="83">
        <f>I21*5</f>
        <v/>
      </c>
      <c r="L21" s="84">
        <f>K21/5*1.6</f>
        <v/>
      </c>
      <c r="M21" s="84">
        <f>K21/5*1.2</f>
        <v/>
      </c>
      <c r="N21" s="84">
        <f>K21/5</f>
        <v/>
      </c>
      <c r="O21" s="84">
        <f>K21/5*0.8</f>
        <v/>
      </c>
      <c r="P21" s="84">
        <f>K21/5*0.6</f>
        <v/>
      </c>
      <c r="Q21" s="84">
        <f>K21/5*0.4</f>
        <v/>
      </c>
      <c r="S21" s="85" t="n"/>
    </row>
    <row r="22" ht="16.5" customHeight="1" s="125">
      <c r="N22" s="87" t="n"/>
    </row>
    <row r="23" ht="16.5" customHeight="1" s="125">
      <c r="A23" s="118" t="inlineStr">
        <is>
          <t>配速來源：Hansons官方計算機 lukehumphreyrunning.com/hmmcalculator（2026-07取樣）；強化跑=10K等效配速（原書半馬課表第11-17週設定）</t>
        </is>
      </c>
      <c r="N23" s="88" t="n"/>
      <c r="O23" s="88" t="n"/>
    </row>
    <row r="24" ht="16.5" customHeight="1" s="125"/>
    <row r="25" ht="16.5" customHeight="1" s="125"/>
    <row r="26" ht="16.5" customHeight="1" s="125">
      <c r="G26" s="88" t="n"/>
    </row>
    <row r="27" ht="16.5" customHeight="1" s="125">
      <c r="G27" s="88" t="n"/>
    </row>
    <row r="28" ht="13.5" customHeight="1" s="125">
      <c r="G28" s="88" t="n"/>
    </row>
    <row r="29" ht="15" customHeight="1" s="125">
      <c r="G29" s="88" t="n"/>
    </row>
    <row r="30" ht="15" customHeight="1" s="125">
      <c r="G30" s="88" t="n"/>
    </row>
    <row r="31" ht="12.75" customHeight="1" s="125"/>
    <row r="32" ht="12.75" customHeight="1" s="125"/>
    <row r="33" ht="12.75" customHeight="1" s="125"/>
    <row r="34" ht="12.75" customHeight="1" s="125"/>
    <row r="35" ht="12.75" customHeight="1" s="125"/>
    <row r="36" ht="12.75" customHeight="1" s="125"/>
    <row r="37" ht="12.75" customHeight="1" s="125"/>
    <row r="38" ht="12.75" customHeight="1" s="125"/>
    <row r="39" ht="12.75" customHeight="1" s="125"/>
    <row r="40" ht="12.75" customHeight="1" s="125"/>
    <row r="41" ht="12.75" customHeight="1" s="125"/>
    <row r="42" ht="12.75" customHeight="1" s="125"/>
    <row r="43" ht="12.75" customHeight="1" s="125"/>
    <row r="44" ht="12.75" customHeight="1" s="125"/>
    <row r="45" ht="12.75" customHeight="1" s="125"/>
    <row r="46" ht="12.75" customHeight="1" s="125"/>
    <row r="47" ht="12.75" customHeight="1" s="125"/>
    <row r="48" ht="12.75" customHeight="1" s="125"/>
    <row r="49" ht="12.75" customHeight="1" s="125"/>
    <row r="50" ht="12.75" customHeight="1" s="125"/>
    <row r="51" ht="12.75" customHeight="1" s="125"/>
    <row r="52" ht="12.75" customHeight="1" s="125"/>
    <row r="53" ht="12.75" customHeight="1" s="125"/>
    <row r="54" ht="12.75" customHeight="1" s="125"/>
    <row r="55" ht="12.75" customHeight="1" s="125"/>
    <row r="56" ht="12.75" customHeight="1" s="125"/>
    <row r="57" ht="12.75" customHeight="1" s="125"/>
    <row r="58" ht="12.75" customHeight="1" s="125"/>
    <row r="59" ht="12.75" customHeight="1" s="125"/>
    <row r="60" ht="12.75" customHeight="1" s="125"/>
    <row r="61" ht="12.75" customHeight="1" s="125"/>
    <row r="62" ht="12.75" customHeight="1" s="125"/>
    <row r="63" ht="12.75" customHeight="1" s="125"/>
    <row r="64" ht="12.75" customHeight="1" s="125"/>
    <row r="65" ht="12.75" customHeight="1" s="125"/>
    <row r="66" ht="12.75" customHeight="1" s="125"/>
    <row r="67" ht="12.75" customHeight="1" s="125"/>
    <row r="68" ht="12.75" customHeight="1" s="125"/>
    <row r="69" ht="12.75" customHeight="1" s="125"/>
    <row r="70" ht="12.75" customHeight="1" s="125"/>
    <row r="71" ht="12.75" customHeight="1" s="125"/>
    <row r="72" ht="12.75" customHeight="1" s="125"/>
    <row r="73" ht="12.75" customHeight="1" s="125"/>
    <row r="74" ht="12.75" customHeight="1" s="125"/>
    <row r="75" ht="12.75" customHeight="1" s="125"/>
    <row r="76" ht="12.75" customHeight="1" s="125"/>
    <row r="77" ht="12.75" customHeight="1" s="125"/>
    <row r="78" ht="12.75" customHeight="1" s="125"/>
    <row r="79" ht="12.75" customHeight="1" s="125"/>
    <row r="80" ht="12.75" customHeight="1" s="125"/>
    <row r="81" ht="12.75" customHeight="1" s="125"/>
    <row r="82" ht="12.75" customHeight="1" s="125"/>
    <row r="83" ht="12.75" customHeight="1" s="125"/>
    <row r="84" ht="12.75" customHeight="1" s="125"/>
    <row r="85" ht="12.75" customHeight="1" s="125"/>
    <row r="86" ht="12.75" customHeight="1" s="125"/>
    <row r="87" ht="12.75" customHeight="1" s="125"/>
    <row r="88" ht="12.75" customHeight="1" s="125"/>
    <row r="89" ht="12.75" customHeight="1" s="125"/>
    <row r="90" ht="12.75" customHeight="1" s="125"/>
    <row r="91" ht="12.75" customHeight="1" s="125"/>
    <row r="92" ht="12.75" customHeight="1" s="125"/>
    <row r="93" ht="12.75" customHeight="1" s="125"/>
    <row r="94" ht="12.75" customHeight="1" s="125"/>
    <row r="95" ht="12.75" customHeight="1" s="125"/>
    <row r="96" ht="12.75" customHeight="1" s="125"/>
    <row r="97" ht="12.75" customHeight="1" s="125"/>
    <row r="98" ht="12.75" customHeight="1" s="125"/>
    <row r="99" ht="12.75" customHeight="1" s="125"/>
    <row r="100" ht="12.75" customHeight="1" s="125"/>
    <row r="101" ht="12.75" customHeight="1" s="125"/>
    <row r="102" ht="12.75" customHeight="1" s="125"/>
    <row r="103" ht="12.75" customHeight="1" s="125"/>
    <row r="104" ht="12.75" customHeight="1" s="125"/>
    <row r="105" ht="12.75" customHeight="1" s="125"/>
    <row r="106" ht="12.75" customHeight="1" s="125"/>
    <row r="107" ht="12.75" customHeight="1" s="125"/>
    <row r="108" ht="12.75" customHeight="1" s="125"/>
    <row r="109" ht="12.75" customHeight="1" s="125"/>
    <row r="110" ht="12.75" customHeight="1" s="125"/>
    <row r="111" ht="12.75" customHeight="1" s="125"/>
    <row r="112" ht="12.75" customHeight="1" s="125"/>
    <row r="113" ht="12.75" customHeight="1" s="125"/>
    <row r="114" ht="12.75" customHeight="1" s="125"/>
    <row r="115" ht="12.75" customHeight="1" s="125"/>
    <row r="116" ht="12.75" customHeight="1" s="125"/>
    <row r="117" ht="12.75" customHeight="1" s="125"/>
    <row r="118" ht="12.75" customHeight="1" s="125"/>
    <row r="119" ht="12.75" customHeight="1" s="125"/>
    <row r="120" ht="12.75" customHeight="1" s="125"/>
    <row r="121" ht="12.75" customHeight="1" s="125"/>
    <row r="122" ht="12.75" customHeight="1" s="125"/>
    <row r="123" ht="12.75" customHeight="1" s="125"/>
    <row r="124" ht="12.75" customHeight="1" s="125"/>
    <row r="125" ht="12.75" customHeight="1" s="125"/>
    <row r="126" ht="12.75" customHeight="1" s="125"/>
    <row r="127" ht="12.75" customHeight="1" s="125"/>
    <row r="128" ht="12.75" customHeight="1" s="125"/>
    <row r="129" ht="12.75" customHeight="1" s="125"/>
    <row r="130" ht="12.75" customHeight="1" s="125"/>
    <row r="131" ht="12.75" customHeight="1" s="125"/>
    <row r="132" ht="12.75" customHeight="1" s="125"/>
    <row r="133" ht="12.75" customHeight="1" s="125"/>
    <row r="134" ht="12.75" customHeight="1" s="125"/>
    <row r="135" ht="12.75" customHeight="1" s="125"/>
    <row r="136" ht="12.75" customHeight="1" s="125"/>
    <row r="137" ht="12.75" customHeight="1" s="125"/>
    <row r="138" ht="12.75" customHeight="1" s="125"/>
    <row r="139" ht="12.75" customHeight="1" s="125"/>
    <row r="140" ht="12.75" customHeight="1" s="125"/>
    <row r="141" ht="12.75" customHeight="1" s="125"/>
    <row r="142" ht="12.75" customHeight="1" s="125"/>
    <row r="143" ht="12.75" customHeight="1" s="125"/>
    <row r="144" ht="12.75" customHeight="1" s="125"/>
    <row r="145" ht="12.75" customHeight="1" s="125"/>
    <row r="146" ht="12.75" customHeight="1" s="125"/>
    <row r="147" ht="12.75" customHeight="1" s="125"/>
    <row r="148" ht="12.75" customHeight="1" s="125"/>
    <row r="149" ht="12.75" customHeight="1" s="125"/>
    <row r="150" ht="12.75" customHeight="1" s="125"/>
    <row r="151" ht="12.75" customHeight="1" s="125"/>
    <row r="152" ht="12.75" customHeight="1" s="125"/>
    <row r="153" ht="12.75" customHeight="1" s="125"/>
    <row r="154" ht="12.75" customHeight="1" s="125"/>
    <row r="155" ht="12.75" customHeight="1" s="125"/>
    <row r="156" ht="12.75" customHeight="1" s="125"/>
    <row r="157" ht="12.75" customHeight="1" s="125"/>
    <row r="158" ht="12.75" customHeight="1" s="125"/>
    <row r="159" ht="12.75" customHeight="1" s="125"/>
    <row r="160" ht="12.75" customHeight="1" s="125"/>
    <row r="161" ht="12.75" customHeight="1" s="125"/>
    <row r="162" ht="12.75" customHeight="1" s="125"/>
    <row r="163" ht="12.75" customHeight="1" s="125"/>
    <row r="164" ht="12.75" customHeight="1" s="125"/>
    <row r="165" ht="12.75" customHeight="1" s="125"/>
    <row r="166" ht="12.75" customHeight="1" s="125"/>
    <row r="167" ht="12.75" customHeight="1" s="125"/>
    <row r="168" ht="12.75" customHeight="1" s="125"/>
    <row r="169" ht="12.75" customHeight="1" s="125"/>
    <row r="170" ht="12.75" customHeight="1" s="125"/>
    <row r="171" ht="12.75" customHeight="1" s="125"/>
    <row r="172" ht="12.75" customHeight="1" s="125"/>
    <row r="173" ht="12.75" customHeight="1" s="125"/>
    <row r="174" ht="12.75" customHeight="1" s="125"/>
    <row r="175" ht="12.75" customHeight="1" s="125"/>
    <row r="176" ht="12.75" customHeight="1" s="125"/>
    <row r="177" ht="12.75" customHeight="1" s="125"/>
    <row r="178" ht="12.75" customHeight="1" s="125"/>
    <row r="179" ht="12.75" customHeight="1" s="125"/>
    <row r="180" ht="12.75" customHeight="1" s="125"/>
    <row r="181" ht="12.75" customHeight="1" s="125"/>
    <row r="182" ht="12.75" customHeight="1" s="125"/>
    <row r="183" ht="12.75" customHeight="1" s="125"/>
    <row r="184" ht="12.75" customHeight="1" s="125"/>
    <row r="185" ht="12.75" customHeight="1" s="125"/>
    <row r="186" ht="12.75" customHeight="1" s="125"/>
    <row r="187" ht="12.75" customHeight="1" s="125"/>
    <row r="188" ht="12.75" customHeight="1" s="125"/>
    <row r="189" ht="12.75" customHeight="1" s="125"/>
    <row r="190" ht="12.75" customHeight="1" s="125"/>
    <row r="191" ht="12.75" customHeight="1" s="125"/>
    <row r="192" ht="12.75" customHeight="1" s="125"/>
    <row r="193" ht="12.75" customHeight="1" s="125"/>
    <row r="194" ht="12.75" customHeight="1" s="125"/>
    <row r="195" ht="12.75" customHeight="1" s="125"/>
    <row r="196" ht="12.75" customHeight="1" s="125"/>
    <row r="197" ht="12.75" customHeight="1" s="125"/>
    <row r="198" ht="12.75" customHeight="1" s="125"/>
    <row r="199" ht="12.75" customHeight="1" s="125"/>
    <row r="200" ht="12.75" customHeight="1" s="125"/>
    <row r="201" ht="12.75" customHeight="1" s="125"/>
    <row r="202" ht="12.75" customHeight="1" s="125"/>
    <row r="203" ht="12.75" customHeight="1" s="125"/>
    <row r="204" ht="12.75" customHeight="1" s="125"/>
    <row r="205" ht="12.75" customHeight="1" s="125"/>
    <row r="206" ht="12.75" customHeight="1" s="125"/>
    <row r="207" ht="12.75" customHeight="1" s="125"/>
    <row r="208" ht="12.75" customHeight="1" s="125"/>
    <row r="209" ht="12.75" customHeight="1" s="125"/>
    <row r="210" ht="12.75" customHeight="1" s="125"/>
    <row r="211" ht="12.75" customHeight="1" s="125"/>
    <row r="212" ht="12.75" customHeight="1" s="125"/>
    <row r="213" ht="12.75" customHeight="1" s="125"/>
    <row r="214" ht="12.75" customHeight="1" s="125"/>
    <row r="215" ht="12.75" customHeight="1" s="125"/>
    <row r="216" ht="12.75" customHeight="1" s="125"/>
    <row r="217" ht="12.75" customHeight="1" s="125"/>
    <row r="218" ht="12.75" customHeight="1" s="125"/>
    <row r="219" ht="12.75" customHeight="1" s="125"/>
    <row r="220" ht="12.75" customHeight="1" s="125"/>
    <row r="221" ht="12.75" customHeight="1" s="125"/>
    <row r="222" ht="12.75" customHeight="1" s="125"/>
    <row r="223" ht="12.75" customHeight="1" s="125"/>
    <row r="224" ht="12.75" customHeight="1" s="125"/>
    <row r="225" ht="12.75" customHeight="1" s="125"/>
    <row r="226" ht="12.75" customHeight="1" s="125"/>
    <row r="227" ht="12.75" customHeight="1" s="125"/>
    <row r="228" ht="12.75" customHeight="1" s="125"/>
    <row r="229" ht="12.75" customHeight="1" s="125"/>
    <row r="230" ht="12.75" customHeight="1" s="125"/>
    <row r="231" ht="12.75" customHeight="1" s="125"/>
    <row r="232" ht="12.75" customHeight="1" s="125"/>
    <row r="233" ht="12.75" customHeight="1" s="125"/>
    <row r="234" ht="12.75" customHeight="1" s="125"/>
    <row r="235" ht="12.75" customHeight="1" s="125"/>
    <row r="236" ht="12.75" customHeight="1" s="125"/>
    <row r="237" ht="12.75" customHeight="1" s="125"/>
    <row r="238" ht="12.75" customHeight="1" s="125"/>
    <row r="239" ht="12.75" customHeight="1" s="125"/>
    <row r="240" ht="12.75" customHeight="1" s="125"/>
    <row r="241" ht="12.75" customHeight="1" s="125"/>
    <row r="242" ht="12.75" customHeight="1" s="125"/>
    <row r="243" ht="12.75" customHeight="1" s="125"/>
    <row r="244" ht="12.75" customHeight="1" s="125"/>
    <row r="245" ht="12.75" customHeight="1" s="125"/>
    <row r="246" ht="12.75" customHeight="1" s="125"/>
    <row r="247" ht="12.75" customHeight="1" s="125"/>
    <row r="248" ht="12.75" customHeight="1" s="125"/>
    <row r="249" ht="12.75" customHeight="1" s="125"/>
    <row r="250" ht="12.75" customHeight="1" s="125"/>
    <row r="251" ht="12.75" customHeight="1" s="125"/>
    <row r="252" ht="12.75" customHeight="1" s="125"/>
    <row r="253" ht="12.75" customHeight="1" s="125"/>
    <row r="254" ht="12.75" customHeight="1" s="125"/>
    <row r="255" ht="12.75" customHeight="1" s="125"/>
    <row r="256" ht="12.75" customHeight="1" s="125"/>
    <row r="257" ht="12.75" customHeight="1" s="125"/>
    <row r="258" ht="12.75" customHeight="1" s="125"/>
    <row r="259" ht="12.75" customHeight="1" s="125"/>
    <row r="260" ht="12.75" customHeight="1" s="125"/>
    <row r="261" ht="12.75" customHeight="1" s="125"/>
    <row r="262" ht="12.75" customHeight="1" s="125"/>
    <row r="263" ht="12.75" customHeight="1" s="125"/>
    <row r="264" ht="12.75" customHeight="1" s="125"/>
    <row r="265" ht="12.75" customHeight="1" s="125"/>
    <row r="266" ht="12.75" customHeight="1" s="125"/>
    <row r="267" ht="12.75" customHeight="1" s="125"/>
    <row r="268" ht="12.75" customHeight="1" s="125"/>
    <row r="269" ht="12.75" customHeight="1" s="125"/>
    <row r="270" ht="12.75" customHeight="1" s="125"/>
    <row r="271" ht="12.75" customHeight="1" s="125"/>
    <row r="272" ht="12.75" customHeight="1" s="125"/>
    <row r="273" ht="12.75" customHeight="1" s="125"/>
    <row r="274" ht="12.75" customHeight="1" s="125"/>
    <row r="275" ht="12.75" customHeight="1" s="125"/>
    <row r="276" ht="12.75" customHeight="1" s="125"/>
    <row r="277" ht="12.75" customHeight="1" s="125"/>
    <row r="278" ht="12.75" customHeight="1" s="125"/>
    <row r="279" ht="12.75" customHeight="1" s="125"/>
    <row r="280" ht="12.75" customHeight="1" s="125"/>
    <row r="281" ht="12.75" customHeight="1" s="125"/>
    <row r="282" ht="12.75" customHeight="1" s="125"/>
    <row r="283" ht="12.75" customHeight="1" s="125"/>
    <row r="284" ht="12.75" customHeight="1" s="125"/>
    <row r="285" ht="12.75" customHeight="1" s="125"/>
    <row r="286" ht="12.75" customHeight="1" s="125"/>
    <row r="287" ht="12.75" customHeight="1" s="125"/>
    <row r="288" ht="12.75" customHeight="1" s="125"/>
    <row r="289" ht="12.75" customHeight="1" s="125"/>
    <row r="290" ht="12.75" customHeight="1" s="125"/>
    <row r="291" ht="12.75" customHeight="1" s="125"/>
    <row r="292" ht="12.75" customHeight="1" s="125"/>
    <row r="293" ht="12.75" customHeight="1" s="125"/>
    <row r="294" ht="12.75" customHeight="1" s="125"/>
    <row r="295" ht="12.75" customHeight="1" s="125"/>
    <row r="296" ht="12.75" customHeight="1" s="125"/>
    <row r="297" ht="12.75" customHeight="1" s="125"/>
    <row r="298" ht="12.75" customHeight="1" s="125"/>
    <row r="299" ht="12.75" customHeight="1" s="125"/>
    <row r="300" ht="12.75" customHeight="1" s="125"/>
    <row r="301" ht="12.75" customHeight="1" s="125"/>
    <row r="302" ht="12.75" customHeight="1" s="125"/>
    <row r="303" ht="12.75" customHeight="1" s="125"/>
    <row r="304" ht="12.75" customHeight="1" s="125"/>
    <row r="305" ht="12.75" customHeight="1" s="125"/>
    <row r="306" ht="12.75" customHeight="1" s="125"/>
    <row r="307" ht="12.75" customHeight="1" s="125"/>
    <row r="308" ht="12.75" customHeight="1" s="125"/>
    <row r="309" ht="12.75" customHeight="1" s="125"/>
    <row r="310" ht="12.75" customHeight="1" s="125"/>
    <row r="311" ht="12.75" customHeight="1" s="125"/>
    <row r="312" ht="12.75" customHeight="1" s="125"/>
    <row r="313" ht="12.75" customHeight="1" s="125"/>
    <row r="314" ht="12.75" customHeight="1" s="125"/>
    <row r="315" ht="12.75" customHeight="1" s="125"/>
    <row r="316" ht="12.75" customHeight="1" s="125"/>
    <row r="317" ht="12.75" customHeight="1" s="125"/>
    <row r="318" ht="12.75" customHeight="1" s="125"/>
    <row r="319" ht="12.75" customHeight="1" s="125"/>
    <row r="320" ht="12.75" customHeight="1" s="125"/>
    <row r="321" ht="12.75" customHeight="1" s="125"/>
    <row r="322" ht="12.75" customHeight="1" s="125"/>
    <row r="323" ht="12.75" customHeight="1" s="125"/>
    <row r="324" ht="12.75" customHeight="1" s="125"/>
    <row r="325" ht="12.75" customHeight="1" s="125"/>
    <row r="326" ht="12.75" customHeight="1" s="125"/>
    <row r="327" ht="12.75" customHeight="1" s="125"/>
    <row r="328" ht="12.75" customHeight="1" s="125"/>
    <row r="329" ht="12.75" customHeight="1" s="125"/>
    <row r="330" ht="12.75" customHeight="1" s="125"/>
    <row r="331" ht="12.75" customHeight="1" s="125"/>
    <row r="332" ht="12.75" customHeight="1" s="125"/>
    <row r="333" ht="12.75" customHeight="1" s="125"/>
    <row r="334" ht="12.75" customHeight="1" s="125"/>
    <row r="335" ht="12.75" customHeight="1" s="125"/>
    <row r="336" ht="12.75" customHeight="1" s="125"/>
    <row r="337" ht="12.75" customHeight="1" s="125"/>
    <row r="338" ht="12.75" customHeight="1" s="125"/>
    <row r="339" ht="12.75" customHeight="1" s="125"/>
    <row r="340" ht="12.75" customHeight="1" s="125"/>
    <row r="341" ht="12.75" customHeight="1" s="125"/>
    <row r="342" ht="12.75" customHeight="1" s="125"/>
    <row r="343" ht="12.75" customHeight="1" s="125"/>
    <row r="344" ht="12.75" customHeight="1" s="125"/>
    <row r="345" ht="12.75" customHeight="1" s="125"/>
    <row r="346" ht="12.75" customHeight="1" s="125"/>
    <row r="347" ht="12.75" customHeight="1" s="125"/>
    <row r="348" ht="12.75" customHeight="1" s="125"/>
    <row r="349" ht="12.75" customHeight="1" s="125"/>
    <row r="350" ht="12.75" customHeight="1" s="125"/>
    <row r="351" ht="12.75" customHeight="1" s="125"/>
    <row r="352" ht="12.75" customHeight="1" s="125"/>
    <row r="353" ht="12.75" customHeight="1" s="125"/>
    <row r="354" ht="12.75" customHeight="1" s="125"/>
    <row r="355" ht="12.75" customHeight="1" s="125"/>
    <row r="356" ht="12.75" customHeight="1" s="125"/>
    <row r="357" ht="12.75" customHeight="1" s="125"/>
    <row r="358" ht="12.75" customHeight="1" s="125"/>
    <row r="359" ht="12.75" customHeight="1" s="125"/>
    <row r="360" ht="12.75" customHeight="1" s="125"/>
    <row r="361" ht="12.75" customHeight="1" s="125"/>
    <row r="362" ht="12.75" customHeight="1" s="125"/>
    <row r="363" ht="12.75" customHeight="1" s="125"/>
    <row r="364" ht="12.75" customHeight="1" s="125"/>
    <row r="365" ht="12.75" customHeight="1" s="125"/>
    <row r="366" ht="12.75" customHeight="1" s="125"/>
    <row r="367" ht="12.75" customHeight="1" s="125"/>
    <row r="368" ht="12.75" customHeight="1" s="125"/>
    <row r="369" ht="12.75" customHeight="1" s="125"/>
    <row r="370" ht="12.75" customHeight="1" s="125"/>
    <row r="371" ht="12.75" customHeight="1" s="125"/>
    <row r="372" ht="12.75" customHeight="1" s="125"/>
    <row r="373" ht="12.75" customHeight="1" s="125"/>
    <row r="374" ht="12.75" customHeight="1" s="125"/>
    <row r="375" ht="12.75" customHeight="1" s="125"/>
    <row r="376" ht="12.75" customHeight="1" s="125"/>
    <row r="377" ht="12.75" customHeight="1" s="125"/>
    <row r="378" ht="12.75" customHeight="1" s="125"/>
    <row r="379" ht="12.75" customHeight="1" s="125"/>
    <row r="380" ht="12.75" customHeight="1" s="125"/>
    <row r="381" ht="12.75" customHeight="1" s="125"/>
    <row r="382" ht="12.75" customHeight="1" s="125"/>
    <row r="383" ht="12.75" customHeight="1" s="125"/>
    <row r="384" ht="12.75" customHeight="1" s="125"/>
    <row r="385" ht="12.75" customHeight="1" s="125"/>
    <row r="386" ht="12.75" customHeight="1" s="125"/>
    <row r="387" ht="12.75" customHeight="1" s="125"/>
    <row r="388" ht="12.75" customHeight="1" s="125"/>
    <row r="389" ht="12.75" customHeight="1" s="125"/>
    <row r="390" ht="12.75" customHeight="1" s="125"/>
    <row r="391" ht="12.75" customHeight="1" s="125"/>
    <row r="392" ht="12.75" customHeight="1" s="125"/>
    <row r="393" ht="12.75" customHeight="1" s="125"/>
    <row r="394" ht="12.75" customHeight="1" s="125"/>
    <row r="395" ht="12.75" customHeight="1" s="125"/>
    <row r="396" ht="12.75" customHeight="1" s="125"/>
    <row r="397" ht="12.75" customHeight="1" s="125"/>
    <row r="398" ht="12.75" customHeight="1" s="125"/>
    <row r="399" ht="12.75" customHeight="1" s="125"/>
    <row r="400" ht="12.75" customHeight="1" s="125"/>
    <row r="401" ht="12.75" customHeight="1" s="125"/>
    <row r="402" ht="12.75" customHeight="1" s="125"/>
    <row r="403" ht="12.75" customHeight="1" s="125"/>
    <row r="404" ht="12.75" customHeight="1" s="125"/>
    <row r="405" ht="12.75" customHeight="1" s="125"/>
    <row r="406" ht="12.75" customHeight="1" s="125"/>
    <row r="407" ht="12.75" customHeight="1" s="125"/>
    <row r="408" ht="12.75" customHeight="1" s="125"/>
    <row r="409" ht="12.75" customHeight="1" s="125"/>
    <row r="410" ht="12.75" customHeight="1" s="125"/>
    <row r="411" ht="12.75" customHeight="1" s="125"/>
    <row r="412" ht="12.75" customHeight="1" s="125"/>
    <row r="413" ht="12.75" customHeight="1" s="125"/>
    <row r="414" ht="12.75" customHeight="1" s="125"/>
    <row r="415" ht="12.75" customHeight="1" s="125"/>
    <row r="416" ht="12.75" customHeight="1" s="125"/>
    <row r="417" ht="12.75" customHeight="1" s="125"/>
    <row r="418" ht="12.75" customHeight="1" s="125"/>
    <row r="419" ht="12.75" customHeight="1" s="125"/>
    <row r="420" ht="12.75" customHeight="1" s="125"/>
    <row r="421" ht="12.75" customHeight="1" s="125"/>
    <row r="422" ht="12.75" customHeight="1" s="125"/>
    <row r="423" ht="12.75" customHeight="1" s="125"/>
    <row r="424" ht="12.75" customHeight="1" s="125"/>
    <row r="425" ht="12.75" customHeight="1" s="125"/>
    <row r="426" ht="12.75" customHeight="1" s="125"/>
    <row r="427" ht="12.75" customHeight="1" s="125"/>
    <row r="428" ht="12.75" customHeight="1" s="125"/>
    <row r="429" ht="12.75" customHeight="1" s="125"/>
    <row r="430" ht="12.75" customHeight="1" s="125"/>
    <row r="431" ht="12.75" customHeight="1" s="125"/>
    <row r="432" ht="12.75" customHeight="1" s="125"/>
    <row r="433" ht="12.75" customHeight="1" s="125"/>
    <row r="434" ht="12.75" customHeight="1" s="125"/>
    <row r="435" ht="12.75" customHeight="1" s="125"/>
    <row r="436" ht="12.75" customHeight="1" s="125"/>
    <row r="437" ht="12.75" customHeight="1" s="125"/>
    <row r="438" ht="12.75" customHeight="1" s="125"/>
    <row r="439" ht="12.75" customHeight="1" s="125"/>
    <row r="440" ht="12.75" customHeight="1" s="125"/>
    <row r="441" ht="12.75" customHeight="1" s="125"/>
    <row r="442" ht="12.75" customHeight="1" s="125"/>
    <row r="443" ht="12.75" customHeight="1" s="125"/>
    <row r="444" ht="12.75" customHeight="1" s="125"/>
    <row r="445" ht="12.75" customHeight="1" s="125"/>
    <row r="446" ht="12.75" customHeight="1" s="125"/>
    <row r="447" ht="12.75" customHeight="1" s="125"/>
    <row r="448" ht="12.75" customHeight="1" s="125"/>
    <row r="449" ht="12.75" customHeight="1" s="125"/>
    <row r="450" ht="12.75" customHeight="1" s="125"/>
    <row r="451" ht="12.75" customHeight="1" s="125"/>
    <row r="452" ht="12.75" customHeight="1" s="125"/>
    <row r="453" ht="12.75" customHeight="1" s="125"/>
    <row r="454" ht="12.75" customHeight="1" s="125"/>
    <row r="455" ht="12.75" customHeight="1" s="125"/>
    <row r="456" ht="12.75" customHeight="1" s="125"/>
    <row r="457" ht="12.75" customHeight="1" s="125"/>
    <row r="458" ht="12.75" customHeight="1" s="125"/>
    <row r="459" ht="12.75" customHeight="1" s="125"/>
    <row r="460" ht="12.75" customHeight="1" s="125"/>
    <row r="461" ht="12.75" customHeight="1" s="125"/>
    <row r="462" ht="12.75" customHeight="1" s="125"/>
    <row r="463" ht="12.75" customHeight="1" s="125"/>
    <row r="464" ht="12.75" customHeight="1" s="125"/>
    <row r="465" ht="12.75" customHeight="1" s="125"/>
    <row r="466" ht="12.75" customHeight="1" s="125"/>
    <row r="467" ht="12.75" customHeight="1" s="125"/>
    <row r="468" ht="12.75" customHeight="1" s="125"/>
    <row r="469" ht="12.75" customHeight="1" s="125"/>
    <row r="470" ht="12.75" customHeight="1" s="125"/>
    <row r="471" ht="12.75" customHeight="1" s="125"/>
    <row r="472" ht="12.75" customHeight="1" s="125"/>
    <row r="473" ht="12.75" customHeight="1" s="125"/>
    <row r="474" ht="12.75" customHeight="1" s="125"/>
    <row r="475" ht="12.75" customHeight="1" s="125"/>
    <row r="476" ht="12.75" customHeight="1" s="125"/>
    <row r="477" ht="12.75" customHeight="1" s="125"/>
    <row r="478" ht="12.75" customHeight="1" s="125"/>
    <row r="479" ht="12.75" customHeight="1" s="125"/>
    <row r="480" ht="12.75" customHeight="1" s="125"/>
    <row r="481" ht="12.75" customHeight="1" s="125"/>
    <row r="482" ht="12.75" customHeight="1" s="125"/>
    <row r="483" ht="12.75" customHeight="1" s="125"/>
    <row r="484" ht="12.75" customHeight="1" s="125"/>
    <row r="485" ht="12.75" customHeight="1" s="125"/>
    <row r="486" ht="12.75" customHeight="1" s="125"/>
    <row r="487" ht="12.75" customHeight="1" s="125"/>
    <row r="488" ht="12.75" customHeight="1" s="125"/>
    <row r="489" ht="12.75" customHeight="1" s="125"/>
    <row r="490" ht="12.75" customHeight="1" s="125"/>
    <row r="491" ht="12.75" customHeight="1" s="125"/>
    <row r="492" ht="12.75" customHeight="1" s="125"/>
    <row r="493" ht="12.75" customHeight="1" s="125"/>
    <row r="494" ht="12.75" customHeight="1" s="125"/>
    <row r="495" ht="12.75" customHeight="1" s="125"/>
    <row r="496" ht="12.75" customHeight="1" s="125"/>
    <row r="497" ht="12.75" customHeight="1" s="125"/>
    <row r="498" ht="12.75" customHeight="1" s="125"/>
    <row r="499" ht="12.75" customHeight="1" s="125"/>
    <row r="500" ht="12.75" customHeight="1" s="125"/>
    <row r="501" ht="12.75" customHeight="1" s="125"/>
    <row r="502" ht="12.75" customHeight="1" s="125"/>
    <row r="503" ht="12.75" customHeight="1" s="125"/>
    <row r="504" ht="12.75" customHeight="1" s="125"/>
    <row r="505" ht="12.75" customHeight="1" s="125"/>
    <row r="506" ht="12.75" customHeight="1" s="125"/>
    <row r="507" ht="12.75" customHeight="1" s="125"/>
    <row r="508" ht="12.75" customHeight="1" s="125"/>
    <row r="509" ht="12.75" customHeight="1" s="125"/>
    <row r="510" ht="12.75" customHeight="1" s="125"/>
    <row r="511" ht="12.75" customHeight="1" s="125"/>
    <row r="512" ht="12.75" customHeight="1" s="125"/>
    <row r="513" ht="12.75" customHeight="1" s="125"/>
    <row r="514" ht="12.75" customHeight="1" s="125"/>
    <row r="515" ht="12.75" customHeight="1" s="125"/>
    <row r="516" ht="12.75" customHeight="1" s="125"/>
    <row r="517" ht="12.75" customHeight="1" s="125"/>
    <row r="518" ht="12.75" customHeight="1" s="125"/>
    <row r="519" ht="12.75" customHeight="1" s="125"/>
    <row r="520" ht="12.75" customHeight="1" s="125"/>
    <row r="521" ht="12.75" customHeight="1" s="125"/>
    <row r="522" ht="12.75" customHeight="1" s="125"/>
    <row r="523" ht="12.75" customHeight="1" s="125"/>
    <row r="524" ht="12.75" customHeight="1" s="125"/>
    <row r="525" ht="12.75" customHeight="1" s="125"/>
    <row r="526" ht="12.75" customHeight="1" s="125"/>
    <row r="527" ht="12.75" customHeight="1" s="125"/>
    <row r="528" ht="12.75" customHeight="1" s="125"/>
    <row r="529" ht="12.75" customHeight="1" s="125"/>
    <row r="530" ht="12.75" customHeight="1" s="125"/>
    <row r="531" ht="12.75" customHeight="1" s="125"/>
    <row r="532" ht="12.75" customHeight="1" s="125"/>
    <row r="533" ht="12.75" customHeight="1" s="125"/>
    <row r="534" ht="12.75" customHeight="1" s="125"/>
    <row r="535" ht="12.75" customHeight="1" s="125"/>
    <row r="536" ht="12.75" customHeight="1" s="125"/>
    <row r="537" ht="12.75" customHeight="1" s="125"/>
    <row r="538" ht="12.75" customHeight="1" s="125"/>
    <row r="539" ht="12.75" customHeight="1" s="125"/>
    <row r="540" ht="12.75" customHeight="1" s="125"/>
    <row r="541" ht="12.75" customHeight="1" s="125"/>
    <row r="542" ht="12.75" customHeight="1" s="125"/>
    <row r="543" ht="12.75" customHeight="1" s="125"/>
    <row r="544" ht="12.75" customHeight="1" s="125"/>
    <row r="545" ht="12.75" customHeight="1" s="125"/>
    <row r="546" ht="12.75" customHeight="1" s="125"/>
    <row r="547" ht="12.75" customHeight="1" s="125"/>
    <row r="548" ht="12.75" customHeight="1" s="125"/>
    <row r="549" ht="12.75" customHeight="1" s="125"/>
    <row r="550" ht="12.75" customHeight="1" s="125"/>
    <row r="551" ht="12.75" customHeight="1" s="125"/>
    <row r="552" ht="12.75" customHeight="1" s="125"/>
    <row r="553" ht="12.75" customHeight="1" s="125"/>
    <row r="554" ht="12.75" customHeight="1" s="125"/>
    <row r="555" ht="12.75" customHeight="1" s="125"/>
    <row r="556" ht="12.75" customHeight="1" s="125"/>
    <row r="557" ht="12.75" customHeight="1" s="125"/>
    <row r="558" ht="12.75" customHeight="1" s="125"/>
    <row r="559" ht="12.75" customHeight="1" s="125"/>
    <row r="560" ht="12.75" customHeight="1" s="125"/>
    <row r="561" ht="12.75" customHeight="1" s="125"/>
    <row r="562" ht="12.75" customHeight="1" s="125"/>
    <row r="563" ht="12.75" customHeight="1" s="125"/>
    <row r="564" ht="12.75" customHeight="1" s="125"/>
    <row r="565" ht="12.75" customHeight="1" s="125"/>
    <row r="566" ht="12.75" customHeight="1" s="125"/>
    <row r="567" ht="12.75" customHeight="1" s="125"/>
    <row r="568" ht="12.75" customHeight="1" s="125"/>
    <row r="569" ht="12.75" customHeight="1" s="125"/>
    <row r="570" ht="12.75" customHeight="1" s="125"/>
    <row r="571" ht="12.75" customHeight="1" s="125"/>
    <row r="572" ht="12.75" customHeight="1" s="125"/>
    <row r="573" ht="12.75" customHeight="1" s="125"/>
    <row r="574" ht="12.75" customHeight="1" s="125"/>
    <row r="575" ht="12.75" customHeight="1" s="125"/>
    <row r="576" ht="12.75" customHeight="1" s="125"/>
    <row r="577" ht="12.75" customHeight="1" s="125"/>
    <row r="578" ht="12.75" customHeight="1" s="125"/>
    <row r="579" ht="12.75" customHeight="1" s="125"/>
    <row r="580" ht="12.75" customHeight="1" s="125"/>
    <row r="581" ht="12.75" customHeight="1" s="125"/>
    <row r="582" ht="12.75" customHeight="1" s="125"/>
    <row r="583" ht="12.75" customHeight="1" s="125"/>
    <row r="584" ht="12.75" customHeight="1" s="125"/>
    <row r="585" ht="12.75" customHeight="1" s="125"/>
    <row r="586" ht="12.75" customHeight="1" s="125"/>
    <row r="587" ht="12.75" customHeight="1" s="125"/>
    <row r="588" ht="12.75" customHeight="1" s="125"/>
    <row r="589" ht="12.75" customHeight="1" s="125"/>
    <row r="590" ht="12.75" customHeight="1" s="125"/>
    <row r="591" ht="12.75" customHeight="1" s="125"/>
    <row r="592" ht="12.75" customHeight="1" s="125"/>
    <row r="593" ht="12.75" customHeight="1" s="125"/>
    <row r="594" ht="12.75" customHeight="1" s="125"/>
    <row r="595" ht="12.75" customHeight="1" s="125"/>
    <row r="596" ht="12.75" customHeight="1" s="125"/>
    <row r="597" ht="12.75" customHeight="1" s="125"/>
    <row r="598" ht="12.75" customHeight="1" s="125"/>
    <row r="599" ht="12.75" customHeight="1" s="125"/>
    <row r="600" ht="12.75" customHeight="1" s="125"/>
    <row r="601" ht="12.75" customHeight="1" s="125"/>
    <row r="602" ht="12.75" customHeight="1" s="125"/>
    <row r="603" ht="12.75" customHeight="1" s="125"/>
    <row r="604" ht="12.75" customHeight="1" s="125"/>
    <row r="605" ht="12.75" customHeight="1" s="125"/>
    <row r="606" ht="12.75" customHeight="1" s="125"/>
    <row r="607" ht="12.75" customHeight="1" s="125"/>
    <row r="608" ht="12.75" customHeight="1" s="125"/>
    <row r="609" ht="12.75" customHeight="1" s="125"/>
    <row r="610" ht="12.75" customHeight="1" s="125"/>
    <row r="611" ht="12.75" customHeight="1" s="125"/>
    <row r="612" ht="12.75" customHeight="1" s="125"/>
    <row r="613" ht="12.75" customHeight="1" s="125"/>
    <row r="614" ht="12.75" customHeight="1" s="125"/>
    <row r="615" ht="12.75" customHeight="1" s="125"/>
    <row r="616" ht="12.75" customHeight="1" s="125"/>
    <row r="617" ht="12.75" customHeight="1" s="125"/>
    <row r="618" ht="12.75" customHeight="1" s="125"/>
    <row r="619" ht="12.75" customHeight="1" s="125"/>
    <row r="620" ht="12.75" customHeight="1" s="125"/>
    <row r="621" ht="12.75" customHeight="1" s="125"/>
    <row r="622" ht="12.75" customHeight="1" s="125"/>
    <row r="623" ht="12.75" customHeight="1" s="125"/>
    <row r="624" ht="12.75" customHeight="1" s="125"/>
    <row r="625" ht="12.75" customHeight="1" s="125"/>
    <row r="626" ht="12.75" customHeight="1" s="125"/>
    <row r="627" ht="12.75" customHeight="1" s="125"/>
    <row r="628" ht="12.75" customHeight="1" s="125"/>
    <row r="629" ht="12.75" customHeight="1" s="125"/>
    <row r="630" ht="12.75" customHeight="1" s="125"/>
    <row r="631" ht="12.75" customHeight="1" s="125"/>
    <row r="632" ht="12.75" customHeight="1" s="125"/>
    <row r="633" ht="12.75" customHeight="1" s="125"/>
    <row r="634" ht="12.75" customHeight="1" s="125"/>
    <row r="635" ht="12.75" customHeight="1" s="125"/>
    <row r="636" ht="12.75" customHeight="1" s="125"/>
    <row r="637" ht="12.75" customHeight="1" s="125"/>
    <row r="638" ht="12.75" customHeight="1" s="125"/>
    <row r="639" ht="12.75" customHeight="1" s="125"/>
    <row r="640" ht="12.75" customHeight="1" s="125"/>
    <row r="641" ht="12.75" customHeight="1" s="125"/>
    <row r="642" ht="12.75" customHeight="1" s="125"/>
    <row r="643" ht="12.75" customHeight="1" s="125"/>
    <row r="644" ht="12.75" customHeight="1" s="125"/>
    <row r="645" ht="12.75" customHeight="1" s="125"/>
    <row r="646" ht="12.75" customHeight="1" s="125"/>
    <row r="647" ht="12.75" customHeight="1" s="125"/>
    <row r="648" ht="12.75" customHeight="1" s="125"/>
    <row r="649" ht="12.75" customHeight="1" s="125"/>
    <row r="650" ht="12.75" customHeight="1" s="125"/>
    <row r="651" ht="12.75" customHeight="1" s="125"/>
    <row r="652" ht="12.75" customHeight="1" s="125"/>
    <row r="653" ht="12.75" customHeight="1" s="125"/>
    <row r="654" ht="12.75" customHeight="1" s="125"/>
    <row r="655" ht="12.75" customHeight="1" s="125"/>
    <row r="656" ht="12.75" customHeight="1" s="125"/>
    <row r="657" ht="12.75" customHeight="1" s="125"/>
    <row r="658" ht="12.75" customHeight="1" s="125"/>
    <row r="659" ht="12.75" customHeight="1" s="125"/>
    <row r="660" ht="12.75" customHeight="1" s="125"/>
    <row r="661" ht="12.75" customHeight="1" s="125"/>
    <row r="662" ht="12.75" customHeight="1" s="125"/>
    <row r="663" ht="12.75" customHeight="1" s="125"/>
    <row r="664" ht="12.75" customHeight="1" s="125"/>
    <row r="665" ht="12.75" customHeight="1" s="125"/>
    <row r="666" ht="12.75" customHeight="1" s="125"/>
    <row r="667" ht="12.75" customHeight="1" s="125"/>
    <row r="668" ht="12.75" customHeight="1" s="125"/>
    <row r="669" ht="12.75" customHeight="1" s="125"/>
    <row r="670" ht="12.75" customHeight="1" s="125"/>
    <row r="671" ht="12.75" customHeight="1" s="125"/>
    <row r="672" ht="12.75" customHeight="1" s="125"/>
    <row r="673" ht="12.75" customHeight="1" s="125"/>
    <row r="674" ht="12.75" customHeight="1" s="125"/>
    <row r="675" ht="12.75" customHeight="1" s="125"/>
    <row r="676" ht="12.75" customHeight="1" s="125"/>
    <row r="677" ht="12.75" customHeight="1" s="125"/>
    <row r="678" ht="12.75" customHeight="1" s="125"/>
    <row r="679" ht="12.75" customHeight="1" s="125"/>
    <row r="680" ht="12.75" customHeight="1" s="125"/>
    <row r="681" ht="12.75" customHeight="1" s="125"/>
    <row r="682" ht="12.75" customHeight="1" s="125"/>
    <row r="683" ht="12.75" customHeight="1" s="125"/>
    <row r="684" ht="12.75" customHeight="1" s="125"/>
    <row r="685" ht="12.75" customHeight="1" s="125"/>
    <row r="686" ht="12.75" customHeight="1" s="125"/>
    <row r="687" ht="12.75" customHeight="1" s="125"/>
    <row r="688" ht="12.75" customHeight="1" s="125"/>
    <row r="689" ht="12.75" customHeight="1" s="125"/>
    <row r="690" ht="12.75" customHeight="1" s="125"/>
    <row r="691" ht="12.75" customHeight="1" s="125"/>
    <row r="692" ht="12.75" customHeight="1" s="125"/>
    <row r="693" ht="12.75" customHeight="1" s="125"/>
    <row r="694" ht="12.75" customHeight="1" s="125"/>
    <row r="695" ht="12.75" customHeight="1" s="125"/>
    <row r="696" ht="12.75" customHeight="1" s="125"/>
    <row r="697" ht="12.75" customHeight="1" s="125"/>
    <row r="698" ht="12.75" customHeight="1" s="125"/>
    <row r="699" ht="12.75" customHeight="1" s="125"/>
    <row r="700" ht="12.75" customHeight="1" s="125"/>
    <row r="701" ht="12.75" customHeight="1" s="125"/>
    <row r="702" ht="12.75" customHeight="1" s="125"/>
    <row r="703" ht="12.75" customHeight="1" s="125"/>
    <row r="704" ht="12.75" customHeight="1" s="125"/>
    <row r="705" ht="12.75" customHeight="1" s="125"/>
    <row r="706" ht="12.75" customHeight="1" s="125"/>
    <row r="707" ht="12.75" customHeight="1" s="125"/>
    <row r="708" ht="12.75" customHeight="1" s="125"/>
    <row r="709" ht="12.75" customHeight="1" s="125"/>
    <row r="710" ht="12.75" customHeight="1" s="125"/>
    <row r="711" ht="12.75" customHeight="1" s="125"/>
    <row r="712" ht="12.75" customHeight="1" s="125"/>
    <row r="713" ht="12.75" customHeight="1" s="125"/>
    <row r="714" ht="12.75" customHeight="1" s="125"/>
    <row r="715" ht="12.75" customHeight="1" s="125"/>
    <row r="716" ht="12.75" customHeight="1" s="125"/>
    <row r="717" ht="12.75" customHeight="1" s="125"/>
    <row r="718" ht="12.75" customHeight="1" s="125"/>
    <row r="719" ht="12.75" customHeight="1" s="125"/>
    <row r="720" ht="12.75" customHeight="1" s="125"/>
    <row r="721" ht="12.75" customHeight="1" s="125"/>
    <row r="722" ht="12.75" customHeight="1" s="125"/>
    <row r="723" ht="12.75" customHeight="1" s="125"/>
    <row r="724" ht="12.75" customHeight="1" s="125"/>
    <row r="725" ht="12.75" customHeight="1" s="125"/>
    <row r="726" ht="12.75" customHeight="1" s="125"/>
    <row r="727" ht="12.75" customHeight="1" s="125"/>
    <row r="728" ht="12.75" customHeight="1" s="125"/>
    <row r="729" ht="12.75" customHeight="1" s="125"/>
    <row r="730" ht="12.75" customHeight="1" s="125"/>
    <row r="731" ht="12.75" customHeight="1" s="125"/>
    <row r="732" ht="12.75" customHeight="1" s="125"/>
    <row r="733" ht="12.75" customHeight="1" s="125"/>
    <row r="734" ht="12.75" customHeight="1" s="125"/>
    <row r="735" ht="12.75" customHeight="1" s="125"/>
    <row r="736" ht="12.75" customHeight="1" s="125"/>
    <row r="737" ht="12.75" customHeight="1" s="125"/>
    <row r="738" ht="12.75" customHeight="1" s="125"/>
    <row r="739" ht="12.75" customHeight="1" s="125"/>
    <row r="740" ht="12.75" customHeight="1" s="125"/>
    <row r="741" ht="12.75" customHeight="1" s="125"/>
    <row r="742" ht="12.75" customHeight="1" s="125"/>
    <row r="743" ht="12.75" customHeight="1" s="125"/>
    <row r="744" ht="12.75" customHeight="1" s="125"/>
    <row r="745" ht="12.75" customHeight="1" s="125"/>
    <row r="746" ht="12.75" customHeight="1" s="125"/>
    <row r="747" ht="12.75" customHeight="1" s="125"/>
    <row r="748" ht="12.75" customHeight="1" s="125"/>
    <row r="749" ht="12.75" customHeight="1" s="125"/>
    <row r="750" ht="12.75" customHeight="1" s="125"/>
    <row r="751" ht="12.75" customHeight="1" s="125"/>
    <row r="752" ht="12.75" customHeight="1" s="125"/>
    <row r="753" ht="12.75" customHeight="1" s="125"/>
    <row r="754" ht="12.75" customHeight="1" s="125"/>
    <row r="755" ht="12.75" customHeight="1" s="125"/>
    <row r="756" ht="12.75" customHeight="1" s="125"/>
    <row r="757" ht="12.75" customHeight="1" s="125"/>
    <row r="758" ht="12.75" customHeight="1" s="125"/>
    <row r="759" ht="12.75" customHeight="1" s="125"/>
    <row r="760" ht="12.75" customHeight="1" s="125"/>
    <row r="761" ht="12.75" customHeight="1" s="125"/>
    <row r="762" ht="12.75" customHeight="1" s="125"/>
    <row r="763" ht="12.75" customHeight="1" s="125"/>
    <row r="764" ht="12.75" customHeight="1" s="125"/>
    <row r="765" ht="12.75" customHeight="1" s="125"/>
    <row r="766" ht="12.75" customHeight="1" s="125"/>
    <row r="767" ht="12.75" customHeight="1" s="125"/>
    <row r="768" ht="12.75" customHeight="1" s="125"/>
    <row r="769" ht="12.75" customHeight="1" s="125"/>
    <row r="770" ht="12.75" customHeight="1" s="125"/>
    <row r="771" ht="12.75" customHeight="1" s="125"/>
    <row r="772" ht="12.75" customHeight="1" s="125"/>
    <row r="773" ht="12.75" customHeight="1" s="125"/>
    <row r="774" ht="12.75" customHeight="1" s="125"/>
    <row r="775" ht="12.75" customHeight="1" s="125"/>
    <row r="776" ht="12.75" customHeight="1" s="125"/>
    <row r="777" ht="12.75" customHeight="1" s="125"/>
    <row r="778" ht="12.75" customHeight="1" s="125"/>
    <row r="779" ht="12.75" customHeight="1" s="125"/>
    <row r="780" ht="12.75" customHeight="1" s="125"/>
    <row r="781" ht="12.75" customHeight="1" s="125"/>
    <row r="782" ht="12.75" customHeight="1" s="125"/>
    <row r="783" ht="12.75" customHeight="1" s="125"/>
    <row r="784" ht="12.75" customHeight="1" s="125"/>
    <row r="785" ht="12.75" customHeight="1" s="125"/>
    <row r="786" ht="12.75" customHeight="1" s="125"/>
    <row r="787" ht="12.75" customHeight="1" s="125"/>
    <row r="788" ht="12.75" customHeight="1" s="125"/>
    <row r="789" ht="12.75" customHeight="1" s="125"/>
    <row r="790" ht="12.75" customHeight="1" s="125"/>
    <row r="791" ht="12.75" customHeight="1" s="125"/>
    <row r="792" ht="12.75" customHeight="1" s="125"/>
    <row r="793" ht="12.75" customHeight="1" s="125"/>
    <row r="794" ht="12.75" customHeight="1" s="125"/>
    <row r="795" ht="12.75" customHeight="1" s="125"/>
    <row r="796" ht="12.75" customHeight="1" s="125"/>
    <row r="797" ht="12.75" customHeight="1" s="125"/>
    <row r="798" ht="12.75" customHeight="1" s="125"/>
    <row r="799" ht="12.75" customHeight="1" s="125"/>
    <row r="800" ht="12.75" customHeight="1" s="125"/>
    <row r="801" ht="12.75" customHeight="1" s="125"/>
    <row r="802" ht="12.75" customHeight="1" s="125"/>
    <row r="803" ht="12.75" customHeight="1" s="125"/>
    <row r="804" ht="12.75" customHeight="1" s="125"/>
    <row r="805" ht="12.75" customHeight="1" s="125"/>
    <row r="806" ht="12.75" customHeight="1" s="125"/>
    <row r="807" ht="12.75" customHeight="1" s="125"/>
    <row r="808" ht="12.75" customHeight="1" s="125"/>
    <row r="809" ht="12.75" customHeight="1" s="125"/>
    <row r="810" ht="12.75" customHeight="1" s="125"/>
    <row r="811" ht="12.75" customHeight="1" s="125"/>
    <row r="812" ht="12.75" customHeight="1" s="125"/>
    <row r="813" ht="12.75" customHeight="1" s="125"/>
    <row r="814" ht="12.75" customHeight="1" s="125"/>
    <row r="815" ht="12.75" customHeight="1" s="125"/>
    <row r="816" ht="12.75" customHeight="1" s="125"/>
    <row r="817" ht="12.75" customHeight="1" s="125"/>
    <row r="818" ht="12.75" customHeight="1" s="125"/>
    <row r="819" ht="12.75" customHeight="1" s="125"/>
    <row r="820" ht="12.75" customHeight="1" s="125"/>
    <row r="821" ht="12.75" customHeight="1" s="125"/>
    <row r="822" ht="12.75" customHeight="1" s="125"/>
    <row r="823" ht="12.75" customHeight="1" s="125"/>
    <row r="824" ht="12.75" customHeight="1" s="125"/>
    <row r="825" ht="12.75" customHeight="1" s="125"/>
    <row r="826" ht="12.75" customHeight="1" s="125"/>
    <row r="827" ht="12.75" customHeight="1" s="125"/>
    <row r="828" ht="12.75" customHeight="1" s="125"/>
    <row r="829" ht="12.75" customHeight="1" s="125"/>
    <row r="830" ht="12.75" customHeight="1" s="125"/>
    <row r="831" ht="12.75" customHeight="1" s="125"/>
    <row r="832" ht="12.75" customHeight="1" s="125"/>
    <row r="833" ht="12.75" customHeight="1" s="125"/>
    <row r="834" ht="12.75" customHeight="1" s="125"/>
    <row r="835" ht="12.75" customHeight="1" s="125"/>
    <row r="836" ht="12.75" customHeight="1" s="125"/>
    <row r="837" ht="12.75" customHeight="1" s="125"/>
    <row r="838" ht="12.75" customHeight="1" s="125"/>
    <row r="839" ht="12.75" customHeight="1" s="125"/>
    <row r="840" ht="12.75" customHeight="1" s="125"/>
    <row r="841" ht="12.75" customHeight="1" s="125"/>
    <row r="842" ht="12.75" customHeight="1" s="125"/>
    <row r="843" ht="12.75" customHeight="1" s="125"/>
    <row r="844" ht="12.75" customHeight="1" s="125"/>
    <row r="845" ht="12.75" customHeight="1" s="125"/>
    <row r="846" ht="12.75" customHeight="1" s="125"/>
    <row r="847" ht="12.75" customHeight="1" s="125"/>
    <row r="848" ht="12.75" customHeight="1" s="125"/>
    <row r="849" ht="12.75" customHeight="1" s="125"/>
    <row r="850" ht="12.75" customHeight="1" s="125"/>
    <row r="851" ht="12.75" customHeight="1" s="125"/>
    <row r="852" ht="12.75" customHeight="1" s="125"/>
    <row r="853" ht="12.75" customHeight="1" s="125"/>
    <row r="854" ht="12.75" customHeight="1" s="125"/>
    <row r="855" ht="12.75" customHeight="1" s="125"/>
    <row r="856" ht="12.75" customHeight="1" s="125"/>
    <row r="857" ht="12.75" customHeight="1" s="125"/>
    <row r="858" ht="12.75" customHeight="1" s="125"/>
    <row r="859" ht="12.75" customHeight="1" s="125"/>
    <row r="860" ht="12.75" customHeight="1" s="125"/>
    <row r="861" ht="12.75" customHeight="1" s="125"/>
    <row r="862" ht="12.75" customHeight="1" s="125"/>
    <row r="863" ht="12.75" customHeight="1" s="125"/>
    <row r="864" ht="12.75" customHeight="1" s="125"/>
    <row r="865" ht="12.75" customHeight="1" s="125"/>
    <row r="866" ht="12.75" customHeight="1" s="125"/>
    <row r="867" ht="12.75" customHeight="1" s="125"/>
    <row r="868" ht="12.75" customHeight="1" s="125"/>
    <row r="869" ht="12.75" customHeight="1" s="125"/>
    <row r="870" ht="12.75" customHeight="1" s="125"/>
    <row r="871" ht="12.75" customHeight="1" s="125"/>
    <row r="872" ht="12.75" customHeight="1" s="125"/>
    <row r="873" ht="12.75" customHeight="1" s="125"/>
    <row r="874" ht="12.75" customHeight="1" s="125"/>
    <row r="875" ht="12.75" customHeight="1" s="125"/>
    <row r="876" ht="12.75" customHeight="1" s="125"/>
    <row r="877" ht="12.75" customHeight="1" s="125"/>
    <row r="878" ht="12.75" customHeight="1" s="125"/>
    <row r="879" ht="12.75" customHeight="1" s="125"/>
    <row r="880" ht="12.75" customHeight="1" s="125"/>
    <row r="881" ht="12.75" customHeight="1" s="125"/>
    <row r="882" ht="12.75" customHeight="1" s="125"/>
    <row r="883" ht="12.75" customHeight="1" s="125"/>
    <row r="884" ht="12.75" customHeight="1" s="125"/>
    <row r="885" ht="12.75" customHeight="1" s="125"/>
    <row r="886" ht="12.75" customHeight="1" s="125"/>
    <row r="887" ht="12.75" customHeight="1" s="125"/>
    <row r="888" ht="12.75" customHeight="1" s="125"/>
    <row r="889" ht="12.75" customHeight="1" s="125"/>
    <row r="890" ht="12.75" customHeight="1" s="125"/>
    <row r="891" ht="12.75" customHeight="1" s="125"/>
    <row r="892" ht="12.75" customHeight="1" s="125"/>
    <row r="893" ht="12.75" customHeight="1" s="125"/>
    <row r="894" ht="12.75" customHeight="1" s="125"/>
    <row r="895" ht="12.75" customHeight="1" s="125"/>
    <row r="896" ht="12.75" customHeight="1" s="125"/>
    <row r="897" ht="12.75" customHeight="1" s="125"/>
    <row r="898" ht="12.75" customHeight="1" s="125"/>
    <row r="899" ht="12.75" customHeight="1" s="125"/>
    <row r="900" ht="12.75" customHeight="1" s="125"/>
    <row r="901" ht="12.75" customHeight="1" s="125"/>
    <row r="902" ht="12.75" customHeight="1" s="125"/>
    <row r="903" ht="12.75" customHeight="1" s="125"/>
    <row r="904" ht="12.75" customHeight="1" s="125"/>
    <row r="905" ht="12.75" customHeight="1" s="125"/>
    <row r="906" ht="12.75" customHeight="1" s="125"/>
    <row r="907" ht="12.75" customHeight="1" s="125"/>
    <row r="908" ht="12.75" customHeight="1" s="125"/>
    <row r="909" ht="12.75" customHeight="1" s="125"/>
    <row r="910" ht="12.75" customHeight="1" s="125"/>
    <row r="911" ht="12.75" customHeight="1" s="125"/>
    <row r="912" ht="12.75" customHeight="1" s="125"/>
    <row r="913" ht="12.75" customHeight="1" s="125"/>
    <row r="914" ht="12.75" customHeight="1" s="125"/>
    <row r="915" ht="12.75" customHeight="1" s="125"/>
    <row r="916" ht="12.75" customHeight="1" s="125"/>
    <row r="917" ht="12.75" customHeight="1" s="125"/>
    <row r="918" ht="12.75" customHeight="1" s="125"/>
    <row r="919" ht="12.75" customHeight="1" s="125"/>
    <row r="920" ht="12.75" customHeight="1" s="125"/>
    <row r="921" ht="12.75" customHeight="1" s="125"/>
    <row r="922" ht="12.75" customHeight="1" s="125"/>
    <row r="923" ht="12.75" customHeight="1" s="125"/>
    <row r="924" ht="12.75" customHeight="1" s="125"/>
    <row r="925" ht="12.75" customHeight="1" s="125"/>
    <row r="926" ht="12.75" customHeight="1" s="125"/>
    <row r="927" ht="12.75" customHeight="1" s="125"/>
    <row r="928" ht="12.75" customHeight="1" s="125"/>
    <row r="929" ht="12.75" customHeight="1" s="125"/>
    <row r="930" ht="12.75" customHeight="1" s="125"/>
    <row r="931" ht="12.75" customHeight="1" s="125"/>
    <row r="932" ht="12.75" customHeight="1" s="125"/>
    <row r="933" ht="12.75" customHeight="1" s="125"/>
    <row r="934" ht="12.75" customHeight="1" s="125"/>
    <row r="935" ht="12.75" customHeight="1" s="125"/>
    <row r="936" ht="12.75" customHeight="1" s="125"/>
    <row r="937" ht="12.75" customHeight="1" s="125"/>
    <row r="938" ht="12.75" customHeight="1" s="125"/>
    <row r="939" ht="12.75" customHeight="1" s="125"/>
    <row r="940" ht="12.75" customHeight="1" s="125"/>
    <row r="941" ht="12.75" customHeight="1" s="125"/>
    <row r="942" ht="12.75" customHeight="1" s="125"/>
    <row r="943" ht="12.75" customHeight="1" s="125"/>
    <row r="944" ht="12.75" customHeight="1" s="125"/>
    <row r="945" ht="12.75" customHeight="1" s="125"/>
    <row r="946" ht="12.75" customHeight="1" s="125"/>
    <row r="947" ht="12.75" customHeight="1" s="125"/>
    <row r="948" ht="12.75" customHeight="1" s="125"/>
    <row r="949" ht="12.75" customHeight="1" s="125"/>
    <row r="950" ht="12.75" customHeight="1" s="125"/>
    <row r="951" ht="12.75" customHeight="1" s="125"/>
    <row r="952" ht="12.75" customHeight="1" s="125"/>
    <row r="953" ht="12.75" customHeight="1" s="125"/>
    <row r="954" ht="12.75" customHeight="1" s="125"/>
    <row r="955" ht="12.75" customHeight="1" s="125"/>
    <row r="956" ht="12.75" customHeight="1" s="125"/>
    <row r="957" ht="12.75" customHeight="1" s="125"/>
    <row r="958" ht="12.75" customHeight="1" s="125"/>
    <row r="959" ht="12.75" customHeight="1" s="125"/>
    <row r="960" ht="12.75" customHeight="1" s="125"/>
    <row r="961" ht="12.75" customHeight="1" s="125"/>
    <row r="962" ht="12.75" customHeight="1" s="125"/>
    <row r="963" ht="12.75" customHeight="1" s="125"/>
    <row r="964" ht="12.75" customHeight="1" s="125"/>
    <row r="965" ht="12.75" customHeight="1" s="125"/>
    <row r="966" ht="12.75" customHeight="1" s="125"/>
    <row r="967" ht="12.75" customHeight="1" s="125"/>
    <row r="968" ht="12.75" customHeight="1" s="125"/>
    <row r="969" ht="12.75" customHeight="1" s="125"/>
    <row r="970" ht="12.75" customHeight="1" s="125"/>
    <row r="971" ht="12.75" customHeight="1" s="125"/>
    <row r="972" ht="12.75" customHeight="1" s="125"/>
    <row r="973" ht="12.75" customHeight="1" s="125"/>
    <row r="974" ht="12.75" customHeight="1" s="125"/>
    <row r="975" ht="12.75" customHeight="1" s="125"/>
    <row r="976" ht="12.75" customHeight="1" s="125"/>
    <row r="977" ht="12.75" customHeight="1" s="125"/>
    <row r="978" ht="12.75" customHeight="1" s="125"/>
    <row r="979" ht="12.75" customHeight="1" s="125"/>
    <row r="980" ht="12.75" customHeight="1" s="125"/>
    <row r="981" ht="12.75" customHeight="1" s="125"/>
    <row r="982" ht="12.75" customHeight="1" s="125"/>
    <row r="983" ht="12.75" customHeight="1" s="125"/>
    <row r="984" ht="12.75" customHeight="1" s="125"/>
    <row r="985" ht="12.75" customHeight="1" s="125"/>
    <row r="986" ht="12.75" customHeight="1" s="125"/>
    <row r="987" ht="12.75" customHeight="1" s="125"/>
    <row r="988" ht="12.75" customHeight="1" s="125"/>
    <row r="989" ht="12.75" customHeight="1" s="125"/>
    <row r="990" ht="12.75" customHeight="1" s="125"/>
    <row r="991" ht="12.75" customHeight="1" s="125"/>
    <row r="992" ht="12.75" customHeight="1" s="125"/>
    <row r="993" ht="12.75" customHeight="1" s="125"/>
    <row r="994" ht="12.75" customHeight="1" s="125"/>
    <row r="995" ht="12.75" customHeight="1" s="125"/>
    <row r="996" ht="12.75" customHeight="1" s="125"/>
    <row r="997" ht="12.75" customHeight="1" s="125"/>
    <row r="998" ht="12.75" customHeight="1" s="125"/>
    <row r="999" ht="12.75" customHeight="1" s="125"/>
    <row r="1000" ht="12.75" customHeight="1" s="125"/>
  </sheetData>
  <mergeCells count="2">
    <mergeCell ref="C2:Q2"/>
    <mergeCell ref="A1:Q1"/>
  </mergeCells>
  <conditionalFormatting sqref="A5:R30">
    <cfRule type="expression" priority="1" dxfId="0">
      <formula>$B5=$B$2</formula>
    </cfRule>
  </conditionalFormatting>
  <dataValidations count="1">
    <dataValidation sqref="B2" showDropDown="0" showInputMessage="1" showErrorMessage="1" allowBlank="1" prompt="選擇你的目標時間 - 從下拉選單選擇你的全馬目標時間" type="list">
      <formula1>$B$5:$B$21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L28"/>
  <sheetViews>
    <sheetView workbookViewId="0">
      <selection activeCell="A1" sqref="A1"/>
    </sheetView>
  </sheetViews>
  <sheetFormatPr baseColWidth="8" defaultColWidth="14.42578125" defaultRowHeight="15" customHeight="1"/>
  <cols>
    <col width="12.5703125" customWidth="1" style="125" min="1" max="4"/>
    <col width="17.28515625" customWidth="1" style="125" min="5" max="5"/>
    <col width="16.92578125" customWidth="1" style="125" min="6" max="6"/>
    <col width="12.5703125" customWidth="1" style="125" min="7" max="11"/>
    <col width="14.5703125" customWidth="1" style="125" min="12" max="12"/>
    <col width="12.5703125" customWidth="1" style="125" min="13" max="26"/>
  </cols>
  <sheetData>
    <row r="1" ht="12.75" customHeight="1" s="125"/>
    <row r="2" ht="12.75" customHeight="1" s="125"/>
    <row r="3" ht="12.75" customHeight="1" s="125"/>
    <row r="4" ht="15.75" customHeight="1" s="125">
      <c r="A4" s="140" t="inlineStr">
        <is>
          <t>速度跑</t>
        </is>
      </c>
      <c r="B4" s="138" t="n"/>
      <c r="C4" s="138" t="n"/>
      <c r="D4" s="138" t="n"/>
      <c r="E4" s="139" t="n"/>
      <c r="H4" s="144" t="inlineStr">
        <is>
          <t>術語解說</t>
        </is>
      </c>
      <c r="I4" s="138" t="n"/>
      <c r="J4" s="138" t="n"/>
      <c r="K4" s="138" t="n"/>
      <c r="L4" s="139" t="n"/>
    </row>
    <row r="5" ht="15.75" customHeight="1" s="125">
      <c r="A5" s="89" t="inlineStr">
        <is>
          <t>● 以5公里及10公里跑步表現作為依據，配速介於80~95%的最大攝氧量間</t>
        </is>
      </c>
      <c r="B5" s="90" t="n"/>
      <c r="C5" s="90" t="n"/>
      <c r="D5" s="90" t="n"/>
      <c r="E5" s="91" t="n"/>
      <c r="H5" s="92" t="inlineStr">
        <is>
          <t>2k WU+12x(400m@5-10k pace+400m jog rest)+2k CD</t>
        </is>
      </c>
      <c r="I5" s="93" t="n"/>
      <c r="J5" s="93" t="n"/>
      <c r="K5" s="93" t="n"/>
      <c r="L5" s="94" t="n"/>
    </row>
    <row r="6" ht="15.75" customHeight="1" s="125">
      <c r="A6" s="89" t="inlineStr">
        <is>
          <t>● 課表原則是逐步增加，本周400m一組，下周800m，達到2000m後再逐步下修</t>
        </is>
      </c>
      <c r="B6" s="90" t="n"/>
      <c r="C6" s="90" t="n"/>
      <c r="D6" s="90" t="n"/>
      <c r="E6" s="91" t="n"/>
      <c r="H6" s="55" t="inlineStr">
        <is>
          <t>2k WU代表2公里暖身(Warm up, WU),速度參照配速表中的恢復跑即可</t>
        </is>
      </c>
      <c r="L6" s="95" t="n"/>
    </row>
    <row r="7" ht="15.75" customHeight="1" s="125">
      <c r="A7" s="55" t="inlineStr">
        <is>
          <t>● 組間可以使用輕鬆跑作為動態恢復或是停下來休息都可，研究顯示差別不大</t>
        </is>
      </c>
      <c r="B7" s="90" t="n"/>
      <c r="C7" s="90" t="n"/>
      <c r="D7" s="90" t="n"/>
      <c r="E7" s="91" t="n"/>
      <c r="H7" s="92" t="inlineStr">
        <is>
          <t>12x(400m@5-10k pace+400m jog rest)</t>
        </is>
      </c>
      <c r="I7" s="96" t="n"/>
      <c r="J7" s="96" t="n"/>
      <c r="K7" s="96" t="n"/>
      <c r="L7" s="97" t="n"/>
    </row>
    <row r="8" ht="15.75" customHeight="1" s="125">
      <c r="A8" s="98" t="inlineStr">
        <is>
          <t>● 休息時間大約是每組的50~100%，比如400m跑80秒，則組間休40~80秒皆可</t>
        </is>
      </c>
      <c r="B8" s="99" t="n"/>
      <c r="C8" s="99" t="n"/>
      <c r="D8" s="99" t="n"/>
      <c r="E8" s="100" t="n"/>
      <c r="H8" s="55" t="inlineStr">
        <is>
          <t>代表每組400m，以5-10k目標配速的速度跑，組間用400m的輕鬆跑作為動態恢復</t>
        </is>
      </c>
      <c r="I8" s="101" t="n"/>
      <c r="J8" s="101" t="n"/>
      <c r="K8" s="101" t="n"/>
      <c r="L8" s="102" t="n"/>
    </row>
    <row r="9" ht="15.75" customHeight="1" s="125">
      <c r="H9" s="92" t="inlineStr">
        <is>
          <t>2k CD代表以2公里緩和(Cool down, CD)作為收操</t>
        </is>
      </c>
      <c r="I9" s="96" t="n"/>
      <c r="J9" s="96" t="n"/>
      <c r="K9" s="96" t="n"/>
      <c r="L9" s="97" t="n"/>
    </row>
    <row r="10" ht="15.75" customHeight="1" s="125">
      <c r="H10" s="103" t="n"/>
      <c r="L10" s="95" t="n"/>
    </row>
    <row r="11" ht="15.75" customHeight="1" s="125">
      <c r="A11" s="137" t="inlineStr">
        <is>
          <t>輕鬆跑</t>
        </is>
      </c>
      <c r="B11" s="138" t="n"/>
      <c r="C11" s="138" t="n"/>
      <c r="D11" s="138" t="n"/>
      <c r="E11" s="138" t="n"/>
      <c r="F11" s="139" t="n"/>
      <c r="H11" s="104" t="inlineStr">
        <is>
          <t>HMP: Half Marathon Pace 半馬比賽配速</t>
        </is>
      </c>
      <c r="I11" s="96" t="n"/>
      <c r="J11" s="96" t="n"/>
      <c r="K11" s="96" t="n"/>
      <c r="L11" s="97" t="n"/>
    </row>
    <row r="12" ht="15.75" customHeight="1" s="125">
      <c r="A12" s="89" t="inlineStr">
        <is>
          <t>● 跑步持續時間介於20分鐘~2.5小時</t>
        </is>
      </c>
      <c r="B12" s="105" t="n"/>
      <c r="C12" s="105" t="n"/>
      <c r="D12" s="105" t="n"/>
      <c r="E12" s="105" t="n"/>
      <c r="F12" s="106" t="n"/>
      <c r="H12" s="107" t="inlineStr">
        <is>
          <t>強化跑: 第11-17週以10K配速進行（見配速表）</t>
        </is>
      </c>
      <c r="I12" s="108" t="n"/>
      <c r="J12" s="108" t="n"/>
      <c r="K12" s="108" t="n"/>
      <c r="L12" s="109" t="n"/>
    </row>
    <row r="13" ht="15.75" customHeight="1" s="125">
      <c r="A13" s="89" t="inlineStr">
        <is>
          <t>● 強度維持在最大攝氧量55~75%，或約等於相較比賽配速每公里慢37.5~75秒</t>
        </is>
      </c>
      <c r="B13" s="105" t="n"/>
      <c r="C13" s="105" t="n"/>
      <c r="D13" s="105" t="n"/>
      <c r="E13" s="105" t="n"/>
      <c r="F13" s="106" t="n"/>
    </row>
    <row r="14" ht="15.75" customHeight="1" s="125">
      <c r="A14" s="89" t="inlineStr">
        <is>
          <t>● 輕鬆跑可以分為(B)快速(每公里慢37.5秒)或(A)慢速(每公里慢75秒)</t>
        </is>
      </c>
      <c r="B14" s="105" t="n"/>
      <c r="C14" s="105" t="n"/>
      <c r="D14" s="105" t="n"/>
      <c r="E14" s="105" t="n"/>
      <c r="F14" s="106" t="n"/>
      <c r="H14" s="143" t="inlineStr">
        <is>
          <t>訓練日調換原則</t>
        </is>
      </c>
      <c r="I14" s="138" t="n"/>
      <c r="J14" s="138" t="n"/>
      <c r="K14" s="138" t="n"/>
      <c r="L14" s="139" t="n"/>
    </row>
    <row r="15" ht="15.75" customHeight="1" s="125">
      <c r="A15" s="89" t="inlineStr">
        <is>
          <t>● 課表中的暖身或收操可以慢速輕鬆跑進行，也適合安排在強度訓練的隔天</t>
        </is>
      </c>
      <c r="B15" s="105" t="n"/>
      <c r="C15" s="105" t="n"/>
      <c r="D15" s="105" t="n"/>
      <c r="E15" s="105" t="n"/>
      <c r="F15" s="106" t="n"/>
      <c r="H15" s="55" t="inlineStr">
        <is>
          <t>如果跑步課表需要配合日常行程變動，則依據以下原則</t>
        </is>
      </c>
      <c r="I15" s="101" t="n"/>
      <c r="J15" s="101" t="n"/>
      <c r="K15" s="101" t="n"/>
      <c r="L15" s="102" t="n"/>
    </row>
    <row r="16" ht="15.75" customHeight="1" s="125">
      <c r="A16" s="89" t="inlineStr">
        <is>
          <t>● 更進階的跑者在強度訓練的前一天也可進行快速輕鬆跑</t>
        </is>
      </c>
      <c r="B16" s="105" t="n"/>
      <c r="C16" s="105" t="n"/>
      <c r="D16" s="105" t="n"/>
      <c r="E16" s="105" t="n"/>
      <c r="F16" s="106" t="n"/>
      <c r="H16" s="55" t="inlineStr">
        <is>
          <t>● 不要連續兩天安排素質練習(速度跑、節奏跑)</t>
        </is>
      </c>
      <c r="I16" s="101" t="n"/>
      <c r="J16" s="101" t="n"/>
      <c r="K16" s="101" t="n"/>
      <c r="L16" s="102" t="n"/>
    </row>
    <row r="17" ht="15.75" customHeight="1" s="125">
      <c r="A17" s="98" t="inlineStr">
        <is>
          <t>● 輕鬆跑是漢森課表的主要訓練元素，如果想要提升課表整體強度，可以先從增加輕鬆跑跑量開始</t>
        </is>
      </c>
      <c r="B17" s="110" t="n"/>
      <c r="C17" s="110" t="n"/>
      <c r="D17" s="110" t="n"/>
      <c r="E17" s="110" t="n"/>
      <c r="F17" s="111" t="n"/>
      <c r="H17" s="55" t="inlineStr">
        <is>
          <t>● 每周兩次的素質訓練可以間隔天數拉長，中間以輕鬆跑代替</t>
        </is>
      </c>
      <c r="I17" s="101" t="n"/>
      <c r="J17" s="101" t="n"/>
      <c r="K17" s="101" t="n"/>
      <c r="L17" s="102" t="n"/>
    </row>
    <row r="18" ht="15.75" customHeight="1" s="125">
      <c r="H18" s="55" t="inlineStr">
        <is>
          <t>● 若一周要休兩次，盡量休在兩個素質訓練的中間</t>
        </is>
      </c>
      <c r="I18" s="101" t="n"/>
      <c r="J18" s="101" t="n"/>
      <c r="K18" s="101" t="n"/>
      <c r="L18" s="102" t="n"/>
    </row>
    <row r="19" ht="15.75" customHeight="1" s="125">
      <c r="A19" s="142" t="inlineStr">
        <is>
          <t>長跑</t>
        </is>
      </c>
      <c r="B19" s="138" t="n"/>
      <c r="C19" s="138" t="n"/>
      <c r="D19" s="138" t="n"/>
      <c r="E19" s="139" t="n"/>
      <c r="H19" s="60" t="inlineStr">
        <is>
          <t>● 長跑前一天不要全休</t>
        </is>
      </c>
      <c r="I19" s="112" t="n"/>
      <c r="J19" s="112" t="n"/>
      <c r="K19" s="112" t="n"/>
      <c r="L19" s="113" t="n"/>
    </row>
    <row r="20" ht="15.75" customHeight="1" s="125">
      <c r="A20" s="89" t="inlineStr">
        <is>
          <t>● 速度必須比輕鬆跑更快，跑起來的體感不能與輕鬆跑一樣輕鬆</t>
        </is>
      </c>
      <c r="B20" s="105" t="n"/>
      <c r="C20" s="105" t="n"/>
      <c r="D20" s="105" t="n"/>
      <c r="E20" s="106" t="n"/>
      <c r="F20" s="114" t="n"/>
    </row>
    <row r="21" ht="15.75" customHeight="1" s="125">
      <c r="A21" s="89" t="inlineStr">
        <is>
          <t>● 訓練目的是：模擬半馬比賽後段的疲勞程度。故不會在長跑前一天全休</t>
        </is>
      </c>
      <c r="B21" s="105" t="n"/>
      <c r="C21" s="105" t="n"/>
      <c r="D21" s="105" t="n"/>
      <c r="E21" s="106" t="n"/>
      <c r="F21" s="114" t="n"/>
    </row>
    <row r="22" ht="15.75" customHeight="1" s="125">
      <c r="A22" s="89" t="inlineStr">
        <is>
          <t>● 長跑不超過每周跑量的25~30%，時間應控制在2.5~3小時</t>
        </is>
      </c>
      <c r="B22" s="105" t="n"/>
      <c r="C22" s="105" t="n"/>
      <c r="D22" s="105" t="n"/>
      <c r="E22" s="106" t="n"/>
      <c r="F22" s="114" t="n"/>
    </row>
    <row r="23" ht="15.75" customHeight="1" s="125">
      <c r="A23" s="98" t="inlineStr">
        <is>
          <t>● 若恢復不佳，可以減少訓練長度，但不要降低訓練速度</t>
        </is>
      </c>
      <c r="B23" s="110" t="n"/>
      <c r="C23" s="110" t="n"/>
      <c r="D23" s="110" t="n"/>
      <c r="E23" s="111" t="n"/>
      <c r="F23" s="114" t="n"/>
    </row>
    <row r="24" ht="12.75" customHeight="1" s="125"/>
    <row r="25" ht="15.75" customHeight="1" s="125">
      <c r="A25" s="141" t="inlineStr">
        <is>
          <t>節奏跑</t>
        </is>
      </c>
      <c r="B25" s="138" t="n"/>
      <c r="C25" s="138" t="n"/>
      <c r="D25" s="138" t="n"/>
      <c r="E25" s="139" t="n"/>
    </row>
    <row r="26" ht="15.75" customHeight="1" s="125">
      <c r="A26" s="89" t="inlineStr">
        <is>
          <t>● 就是半馬比賽配速跑（HMP）</t>
        </is>
      </c>
      <c r="B26" s="105" t="n"/>
      <c r="C26" s="105" t="n"/>
      <c r="D26" s="105" t="n"/>
      <c r="E26" s="106" t="n"/>
      <c r="F26" s="114" t="n"/>
    </row>
    <row r="27" ht="15.75" customHeight="1" s="125">
      <c r="A27" s="89" t="inlineStr">
        <is>
          <t>● 全程穩定配速是關鍵，特別是絕對不要前段快後段慢(positive split)</t>
        </is>
      </c>
      <c r="B27" s="105" t="n"/>
      <c r="C27" s="105" t="n"/>
      <c r="D27" s="105" t="n"/>
      <c r="E27" s="106" t="n"/>
      <c r="F27" s="114" t="n"/>
    </row>
    <row r="28" ht="15.75" customHeight="1" s="125">
      <c r="A28" s="98" t="inlineStr">
        <is>
          <t>● 不要停下來</t>
        </is>
      </c>
      <c r="B28" s="110" t="n"/>
      <c r="C28" s="110" t="n"/>
      <c r="D28" s="110" t="n"/>
      <c r="E28" s="111" t="n"/>
      <c r="F28" s="114" t="n"/>
    </row>
    <row r="29" ht="12.75" customHeight="1" s="125"/>
    <row r="30" ht="12.75" customHeight="1" s="125"/>
    <row r="31" ht="12.75" customHeight="1" s="125"/>
    <row r="32" ht="12.75" customHeight="1" s="125"/>
    <row r="33" ht="12.75" customHeight="1" s="125"/>
    <row r="34" ht="12.75" customHeight="1" s="125"/>
    <row r="35" ht="12.75" customHeight="1" s="125"/>
    <row r="36" ht="12.75" customHeight="1" s="125"/>
    <row r="37" ht="12.75" customHeight="1" s="125"/>
    <row r="38" ht="12.75" customHeight="1" s="125"/>
    <row r="39" ht="12.75" customHeight="1" s="125"/>
    <row r="40" ht="12.75" customHeight="1" s="125"/>
    <row r="41" ht="12.75" customHeight="1" s="125"/>
    <row r="42" ht="12.75" customHeight="1" s="125"/>
    <row r="43" ht="12.75" customHeight="1" s="125"/>
    <row r="44" ht="12.75" customHeight="1" s="125"/>
    <row r="45" ht="12.75" customHeight="1" s="125"/>
    <row r="46" ht="12.75" customHeight="1" s="125"/>
    <row r="47" ht="12.75" customHeight="1" s="125"/>
    <row r="48" ht="12.75" customHeight="1" s="125"/>
    <row r="49" ht="12.75" customHeight="1" s="125"/>
    <row r="50" ht="12.75" customHeight="1" s="125"/>
    <row r="51" ht="12.75" customHeight="1" s="125"/>
    <row r="52" ht="12.75" customHeight="1" s="125"/>
    <row r="53" ht="12.75" customHeight="1" s="125"/>
    <row r="54" ht="12.75" customHeight="1" s="125"/>
    <row r="55" ht="12.75" customHeight="1" s="125"/>
    <row r="56" ht="12.75" customHeight="1" s="125"/>
    <row r="57" ht="12.75" customHeight="1" s="125"/>
    <row r="58" ht="12.75" customHeight="1" s="125"/>
    <row r="59" ht="12.75" customHeight="1" s="125"/>
    <row r="60" ht="12.75" customHeight="1" s="125"/>
    <row r="61" ht="12.75" customHeight="1" s="125"/>
    <row r="62" ht="12.75" customHeight="1" s="125"/>
    <row r="63" ht="12.75" customHeight="1" s="125"/>
    <row r="64" ht="12.75" customHeight="1" s="125"/>
    <row r="65" ht="12.75" customHeight="1" s="125"/>
    <row r="66" ht="12.75" customHeight="1" s="125"/>
    <row r="67" ht="12.75" customHeight="1" s="125"/>
    <row r="68" ht="12.75" customHeight="1" s="125"/>
    <row r="69" ht="12.75" customHeight="1" s="125"/>
    <row r="70" ht="12.75" customHeight="1" s="125"/>
    <row r="71" ht="12.75" customHeight="1" s="125"/>
    <row r="72" ht="12.75" customHeight="1" s="125"/>
    <row r="73" ht="12.75" customHeight="1" s="125"/>
    <row r="74" ht="12.75" customHeight="1" s="125"/>
    <row r="75" ht="12.75" customHeight="1" s="125"/>
    <row r="76" ht="12.75" customHeight="1" s="125"/>
    <row r="77" ht="12.75" customHeight="1" s="125"/>
    <row r="78" ht="12.75" customHeight="1" s="125"/>
    <row r="79" ht="12.75" customHeight="1" s="125"/>
    <row r="80" ht="12.75" customHeight="1" s="125"/>
    <row r="81" ht="12.75" customHeight="1" s="125"/>
    <row r="82" ht="12.75" customHeight="1" s="125"/>
    <row r="83" ht="12.75" customHeight="1" s="125"/>
    <row r="84" ht="12.75" customHeight="1" s="125"/>
    <row r="85" ht="12.75" customHeight="1" s="125"/>
    <row r="86" ht="12.75" customHeight="1" s="125"/>
    <row r="87" ht="12.75" customHeight="1" s="125"/>
    <row r="88" ht="12.75" customHeight="1" s="125"/>
    <row r="89" ht="12.75" customHeight="1" s="125"/>
    <row r="90" ht="12.75" customHeight="1" s="125"/>
    <row r="91" ht="12.75" customHeight="1" s="125"/>
    <row r="92" ht="12.75" customHeight="1" s="125"/>
    <row r="93" ht="12.75" customHeight="1" s="125"/>
    <row r="94" ht="12.75" customHeight="1" s="125"/>
    <row r="95" ht="12.75" customHeight="1" s="125"/>
    <row r="96" ht="12.75" customHeight="1" s="125"/>
    <row r="97" ht="12.75" customHeight="1" s="125"/>
    <row r="98" ht="12.75" customHeight="1" s="125"/>
    <row r="99" ht="12.75" customHeight="1" s="125"/>
    <row r="100" ht="12.75" customHeight="1" s="125"/>
    <row r="101" ht="12.75" customHeight="1" s="125"/>
    <row r="102" ht="12.75" customHeight="1" s="125"/>
    <row r="103" ht="12.75" customHeight="1" s="125"/>
    <row r="104" ht="12.75" customHeight="1" s="125"/>
    <row r="105" ht="12.75" customHeight="1" s="125"/>
    <row r="106" ht="12.75" customHeight="1" s="125"/>
    <row r="107" ht="12.75" customHeight="1" s="125"/>
    <row r="108" ht="12.75" customHeight="1" s="125"/>
    <row r="109" ht="12.75" customHeight="1" s="125"/>
    <row r="110" ht="12.75" customHeight="1" s="125"/>
    <row r="111" ht="12.75" customHeight="1" s="125"/>
    <row r="112" ht="12.75" customHeight="1" s="125"/>
    <row r="113" ht="12.75" customHeight="1" s="125"/>
    <row r="114" ht="12.75" customHeight="1" s="125"/>
    <row r="115" ht="12.75" customHeight="1" s="125"/>
    <row r="116" ht="12.75" customHeight="1" s="125"/>
    <row r="117" ht="12.75" customHeight="1" s="125"/>
    <row r="118" ht="12.75" customHeight="1" s="125"/>
    <row r="119" ht="12.75" customHeight="1" s="125"/>
    <row r="120" ht="12.75" customHeight="1" s="125"/>
    <row r="121" ht="12.75" customHeight="1" s="125"/>
    <row r="122" ht="12.75" customHeight="1" s="125"/>
    <row r="123" ht="12.75" customHeight="1" s="125"/>
    <row r="124" ht="12.75" customHeight="1" s="125"/>
    <row r="125" ht="12.75" customHeight="1" s="125"/>
    <row r="126" ht="12.75" customHeight="1" s="125"/>
    <row r="127" ht="12.75" customHeight="1" s="125"/>
    <row r="128" ht="12.75" customHeight="1" s="125"/>
    <row r="129" ht="12.75" customHeight="1" s="125"/>
    <row r="130" ht="12.75" customHeight="1" s="125"/>
    <row r="131" ht="12.75" customHeight="1" s="125"/>
    <row r="132" ht="12.75" customHeight="1" s="125"/>
    <row r="133" ht="12.75" customHeight="1" s="125"/>
    <row r="134" ht="12.75" customHeight="1" s="125"/>
    <row r="135" ht="12.75" customHeight="1" s="125"/>
    <row r="136" ht="12.75" customHeight="1" s="125"/>
    <row r="137" ht="12.75" customHeight="1" s="125"/>
    <row r="138" ht="12.75" customHeight="1" s="125"/>
    <row r="139" ht="12.75" customHeight="1" s="125"/>
    <row r="140" ht="12.75" customHeight="1" s="125"/>
    <row r="141" ht="12.75" customHeight="1" s="125"/>
    <row r="142" ht="12.75" customHeight="1" s="125"/>
    <row r="143" ht="12.75" customHeight="1" s="125"/>
    <row r="144" ht="12.75" customHeight="1" s="125"/>
    <row r="145" ht="12.75" customHeight="1" s="125"/>
    <row r="146" ht="12.75" customHeight="1" s="125"/>
    <row r="147" ht="12.75" customHeight="1" s="125"/>
    <row r="148" ht="12.75" customHeight="1" s="125"/>
    <row r="149" ht="12.75" customHeight="1" s="125"/>
    <row r="150" ht="12.75" customHeight="1" s="125"/>
    <row r="151" ht="12.75" customHeight="1" s="125"/>
    <row r="152" ht="12.75" customHeight="1" s="125"/>
    <row r="153" ht="12.75" customHeight="1" s="125"/>
    <row r="154" ht="12.75" customHeight="1" s="125"/>
    <row r="155" ht="12.75" customHeight="1" s="125"/>
    <row r="156" ht="12.75" customHeight="1" s="125"/>
    <row r="157" ht="12.75" customHeight="1" s="125"/>
    <row r="158" ht="12.75" customHeight="1" s="125"/>
    <row r="159" ht="12.75" customHeight="1" s="125"/>
    <row r="160" ht="12.75" customHeight="1" s="125"/>
    <row r="161" ht="12.75" customHeight="1" s="125"/>
    <row r="162" ht="12.75" customHeight="1" s="125"/>
    <row r="163" ht="12.75" customHeight="1" s="125"/>
    <row r="164" ht="12.75" customHeight="1" s="125"/>
    <row r="165" ht="12.75" customHeight="1" s="125"/>
    <row r="166" ht="12.75" customHeight="1" s="125"/>
    <row r="167" ht="12.75" customHeight="1" s="125"/>
    <row r="168" ht="12.75" customHeight="1" s="125"/>
    <row r="169" ht="12.75" customHeight="1" s="125"/>
    <row r="170" ht="12.75" customHeight="1" s="125"/>
    <row r="171" ht="12.75" customHeight="1" s="125"/>
    <row r="172" ht="12.75" customHeight="1" s="125"/>
    <row r="173" ht="12.75" customHeight="1" s="125"/>
    <row r="174" ht="12.75" customHeight="1" s="125"/>
    <row r="175" ht="12.75" customHeight="1" s="125"/>
    <row r="176" ht="12.75" customHeight="1" s="125"/>
    <row r="177" ht="12.75" customHeight="1" s="125"/>
    <row r="178" ht="12.75" customHeight="1" s="125"/>
    <row r="179" ht="12.75" customHeight="1" s="125"/>
    <row r="180" ht="12.75" customHeight="1" s="125"/>
    <row r="181" ht="12.75" customHeight="1" s="125"/>
    <row r="182" ht="12.75" customHeight="1" s="125"/>
    <row r="183" ht="12.75" customHeight="1" s="125"/>
    <row r="184" ht="12.75" customHeight="1" s="125"/>
    <row r="185" ht="12.75" customHeight="1" s="125"/>
    <row r="186" ht="12.75" customHeight="1" s="125"/>
    <row r="187" ht="12.75" customHeight="1" s="125"/>
    <row r="188" ht="12.75" customHeight="1" s="125"/>
    <row r="189" ht="12.75" customHeight="1" s="125"/>
    <row r="190" ht="12.75" customHeight="1" s="125"/>
    <row r="191" ht="12.75" customHeight="1" s="125"/>
    <row r="192" ht="12.75" customHeight="1" s="125"/>
    <row r="193" ht="12.75" customHeight="1" s="125"/>
    <row r="194" ht="12.75" customHeight="1" s="125"/>
    <row r="195" ht="12.75" customHeight="1" s="125"/>
    <row r="196" ht="12.75" customHeight="1" s="125"/>
    <row r="197" ht="12.75" customHeight="1" s="125"/>
    <row r="198" ht="12.75" customHeight="1" s="125"/>
    <row r="199" ht="12.75" customHeight="1" s="125"/>
    <row r="200" ht="12.75" customHeight="1" s="125"/>
    <row r="201" ht="12.75" customHeight="1" s="125"/>
    <row r="202" ht="12.75" customHeight="1" s="125"/>
    <row r="203" ht="12.75" customHeight="1" s="125"/>
    <row r="204" ht="12.75" customHeight="1" s="125"/>
    <row r="205" ht="12.75" customHeight="1" s="125"/>
    <row r="206" ht="12.75" customHeight="1" s="125"/>
    <row r="207" ht="12.75" customHeight="1" s="125"/>
    <row r="208" ht="12.75" customHeight="1" s="125"/>
    <row r="209" ht="12.75" customHeight="1" s="125"/>
    <row r="210" ht="12.75" customHeight="1" s="125"/>
    <row r="211" ht="12.75" customHeight="1" s="125"/>
    <row r="212" ht="12.75" customHeight="1" s="125"/>
    <row r="213" ht="12.75" customHeight="1" s="125"/>
    <row r="214" ht="12.75" customHeight="1" s="125"/>
    <row r="215" ht="12.75" customHeight="1" s="125"/>
    <row r="216" ht="12.75" customHeight="1" s="125"/>
    <row r="217" ht="12.75" customHeight="1" s="125"/>
    <row r="218" ht="12.75" customHeight="1" s="125"/>
    <row r="219" ht="12.75" customHeight="1" s="125"/>
    <row r="220" ht="12.75" customHeight="1" s="125"/>
    <row r="221" ht="12.75" customHeight="1" s="125"/>
    <row r="222" ht="12.75" customHeight="1" s="125"/>
    <row r="223" ht="12.75" customHeight="1" s="125"/>
    <row r="224" ht="12.75" customHeight="1" s="125"/>
    <row r="225" ht="12.75" customHeight="1" s="125"/>
    <row r="226" ht="12.75" customHeight="1" s="125"/>
    <row r="227" ht="12.75" customHeight="1" s="125"/>
    <row r="228" ht="12.75" customHeight="1" s="125"/>
    <row r="229" ht="12.75" customHeight="1" s="125"/>
    <row r="230" ht="12.75" customHeight="1" s="125"/>
    <row r="231" ht="12.75" customHeight="1" s="125"/>
    <row r="232" ht="12.75" customHeight="1" s="125"/>
    <row r="233" ht="12.75" customHeight="1" s="125"/>
    <row r="234" ht="12.75" customHeight="1" s="125"/>
    <row r="235" ht="12.75" customHeight="1" s="125"/>
    <row r="236" ht="12.75" customHeight="1" s="125"/>
    <row r="237" ht="12.75" customHeight="1" s="125"/>
    <row r="238" ht="12.75" customHeight="1" s="125"/>
    <row r="239" ht="12.75" customHeight="1" s="125"/>
    <row r="240" ht="12.75" customHeight="1" s="125"/>
    <row r="241" ht="12.75" customHeight="1" s="125"/>
    <row r="242" ht="12.75" customHeight="1" s="125"/>
    <row r="243" ht="12.75" customHeight="1" s="125"/>
    <row r="244" ht="12.75" customHeight="1" s="125"/>
    <row r="245" ht="12.75" customHeight="1" s="125"/>
    <row r="246" ht="12.75" customHeight="1" s="125"/>
    <row r="247" ht="12.75" customHeight="1" s="125"/>
    <row r="248" ht="12.75" customHeight="1" s="125"/>
    <row r="249" ht="12.75" customHeight="1" s="125"/>
    <row r="250" ht="12.75" customHeight="1" s="125"/>
    <row r="251" ht="12.75" customHeight="1" s="125"/>
    <row r="252" ht="12.75" customHeight="1" s="125"/>
    <row r="253" ht="12.75" customHeight="1" s="125"/>
    <row r="254" ht="12.75" customHeight="1" s="125"/>
    <row r="255" ht="12.75" customHeight="1" s="125"/>
    <row r="256" ht="12.75" customHeight="1" s="125"/>
    <row r="257" ht="12.75" customHeight="1" s="125"/>
    <row r="258" ht="12.75" customHeight="1" s="125"/>
    <row r="259" ht="12.75" customHeight="1" s="125"/>
    <row r="260" ht="12.75" customHeight="1" s="125"/>
    <row r="261" ht="12.75" customHeight="1" s="125"/>
    <row r="262" ht="12.75" customHeight="1" s="125"/>
    <row r="263" ht="12.75" customHeight="1" s="125"/>
    <row r="264" ht="12.75" customHeight="1" s="125"/>
    <row r="265" ht="12.75" customHeight="1" s="125"/>
    <row r="266" ht="12.75" customHeight="1" s="125"/>
    <row r="267" ht="12.75" customHeight="1" s="125"/>
    <row r="268" ht="12.75" customHeight="1" s="125"/>
    <row r="269" ht="12.75" customHeight="1" s="125"/>
    <row r="270" ht="12.75" customHeight="1" s="125"/>
    <row r="271" ht="12.75" customHeight="1" s="125"/>
    <row r="272" ht="12.75" customHeight="1" s="125"/>
    <row r="273" ht="12.75" customHeight="1" s="125"/>
    <row r="274" ht="12.75" customHeight="1" s="125"/>
    <row r="275" ht="12.75" customHeight="1" s="125"/>
    <row r="276" ht="12.75" customHeight="1" s="125"/>
    <row r="277" ht="12.75" customHeight="1" s="125"/>
    <row r="278" ht="12.75" customHeight="1" s="125"/>
    <row r="279" ht="12.75" customHeight="1" s="125"/>
    <row r="280" ht="12.75" customHeight="1" s="125"/>
    <row r="281" ht="12.75" customHeight="1" s="125"/>
    <row r="282" ht="12.75" customHeight="1" s="125"/>
    <row r="283" ht="12.75" customHeight="1" s="125"/>
    <row r="284" ht="12.75" customHeight="1" s="125"/>
    <row r="285" ht="12.75" customHeight="1" s="125"/>
    <row r="286" ht="12.75" customHeight="1" s="125"/>
    <row r="287" ht="12.75" customHeight="1" s="125"/>
    <row r="288" ht="12.75" customHeight="1" s="125"/>
    <row r="289" ht="12.75" customHeight="1" s="125"/>
    <row r="290" ht="12.75" customHeight="1" s="125"/>
    <row r="291" ht="12.75" customHeight="1" s="125"/>
    <row r="292" ht="12.75" customHeight="1" s="125"/>
    <row r="293" ht="12.75" customHeight="1" s="125"/>
    <row r="294" ht="12.75" customHeight="1" s="125"/>
    <row r="295" ht="12.75" customHeight="1" s="125"/>
    <row r="296" ht="12.75" customHeight="1" s="125"/>
    <row r="297" ht="12.75" customHeight="1" s="125"/>
    <row r="298" ht="12.75" customHeight="1" s="125"/>
    <row r="299" ht="12.75" customHeight="1" s="125"/>
    <row r="300" ht="12.75" customHeight="1" s="125"/>
    <row r="301" ht="12.75" customHeight="1" s="125"/>
    <row r="302" ht="12.75" customHeight="1" s="125"/>
    <row r="303" ht="12.75" customHeight="1" s="125"/>
    <row r="304" ht="12.75" customHeight="1" s="125"/>
    <row r="305" ht="12.75" customHeight="1" s="125"/>
    <row r="306" ht="12.75" customHeight="1" s="125"/>
    <row r="307" ht="12.75" customHeight="1" s="125"/>
    <row r="308" ht="12.75" customHeight="1" s="125"/>
    <row r="309" ht="12.75" customHeight="1" s="125"/>
    <row r="310" ht="12.75" customHeight="1" s="125"/>
    <row r="311" ht="12.75" customHeight="1" s="125"/>
    <row r="312" ht="12.75" customHeight="1" s="125"/>
    <row r="313" ht="12.75" customHeight="1" s="125"/>
    <row r="314" ht="12.75" customHeight="1" s="125"/>
    <row r="315" ht="12.75" customHeight="1" s="125"/>
    <row r="316" ht="12.75" customHeight="1" s="125"/>
    <row r="317" ht="12.75" customHeight="1" s="125"/>
    <row r="318" ht="12.75" customHeight="1" s="125"/>
    <row r="319" ht="12.75" customHeight="1" s="125"/>
    <row r="320" ht="12.75" customHeight="1" s="125"/>
    <row r="321" ht="12.75" customHeight="1" s="125"/>
    <row r="322" ht="12.75" customHeight="1" s="125"/>
    <row r="323" ht="12.75" customHeight="1" s="125"/>
    <row r="324" ht="12.75" customHeight="1" s="125"/>
    <row r="325" ht="12.75" customHeight="1" s="125"/>
    <row r="326" ht="12.75" customHeight="1" s="125"/>
    <row r="327" ht="12.75" customHeight="1" s="125"/>
    <row r="328" ht="12.75" customHeight="1" s="125"/>
    <row r="329" ht="12.75" customHeight="1" s="125"/>
    <row r="330" ht="12.75" customHeight="1" s="125"/>
    <row r="331" ht="12.75" customHeight="1" s="125"/>
    <row r="332" ht="12.75" customHeight="1" s="125"/>
    <row r="333" ht="12.75" customHeight="1" s="125"/>
    <row r="334" ht="12.75" customHeight="1" s="125"/>
    <row r="335" ht="12.75" customHeight="1" s="125"/>
    <row r="336" ht="12.75" customHeight="1" s="125"/>
    <row r="337" ht="12.75" customHeight="1" s="125"/>
    <row r="338" ht="12.75" customHeight="1" s="125"/>
    <row r="339" ht="12.75" customHeight="1" s="125"/>
    <row r="340" ht="12.75" customHeight="1" s="125"/>
    <row r="341" ht="12.75" customHeight="1" s="125"/>
    <row r="342" ht="12.75" customHeight="1" s="125"/>
    <row r="343" ht="12.75" customHeight="1" s="125"/>
    <row r="344" ht="12.75" customHeight="1" s="125"/>
    <row r="345" ht="12.75" customHeight="1" s="125"/>
    <row r="346" ht="12.75" customHeight="1" s="125"/>
    <row r="347" ht="12.75" customHeight="1" s="125"/>
    <row r="348" ht="12.75" customHeight="1" s="125"/>
    <row r="349" ht="12.75" customHeight="1" s="125"/>
    <row r="350" ht="12.75" customHeight="1" s="125"/>
    <row r="351" ht="12.75" customHeight="1" s="125"/>
    <row r="352" ht="12.75" customHeight="1" s="125"/>
    <row r="353" ht="12.75" customHeight="1" s="125"/>
    <row r="354" ht="12.75" customHeight="1" s="125"/>
    <row r="355" ht="12.75" customHeight="1" s="125"/>
    <row r="356" ht="12.75" customHeight="1" s="125"/>
    <row r="357" ht="12.75" customHeight="1" s="125"/>
    <row r="358" ht="12.75" customHeight="1" s="125"/>
    <row r="359" ht="12.75" customHeight="1" s="125"/>
    <row r="360" ht="12.75" customHeight="1" s="125"/>
    <row r="361" ht="12.75" customHeight="1" s="125"/>
    <row r="362" ht="12.75" customHeight="1" s="125"/>
    <row r="363" ht="12.75" customHeight="1" s="125"/>
    <row r="364" ht="12.75" customHeight="1" s="125"/>
    <row r="365" ht="12.75" customHeight="1" s="125"/>
    <row r="366" ht="12.75" customHeight="1" s="125"/>
    <row r="367" ht="12.75" customHeight="1" s="125"/>
    <row r="368" ht="12.75" customHeight="1" s="125"/>
    <row r="369" ht="12.75" customHeight="1" s="125"/>
    <row r="370" ht="12.75" customHeight="1" s="125"/>
    <row r="371" ht="12.75" customHeight="1" s="125"/>
    <row r="372" ht="12.75" customHeight="1" s="125"/>
    <row r="373" ht="12.75" customHeight="1" s="125"/>
    <row r="374" ht="12.75" customHeight="1" s="125"/>
    <row r="375" ht="12.75" customHeight="1" s="125"/>
    <row r="376" ht="12.75" customHeight="1" s="125"/>
    <row r="377" ht="12.75" customHeight="1" s="125"/>
    <row r="378" ht="12.75" customHeight="1" s="125"/>
    <row r="379" ht="12.75" customHeight="1" s="125"/>
    <row r="380" ht="12.75" customHeight="1" s="125"/>
    <row r="381" ht="12.75" customHeight="1" s="125"/>
    <row r="382" ht="12.75" customHeight="1" s="125"/>
    <row r="383" ht="12.75" customHeight="1" s="125"/>
    <row r="384" ht="12.75" customHeight="1" s="125"/>
    <row r="385" ht="12.75" customHeight="1" s="125"/>
    <row r="386" ht="12.75" customHeight="1" s="125"/>
    <row r="387" ht="12.75" customHeight="1" s="125"/>
    <row r="388" ht="12.75" customHeight="1" s="125"/>
    <row r="389" ht="12.75" customHeight="1" s="125"/>
    <row r="390" ht="12.75" customHeight="1" s="125"/>
    <row r="391" ht="12.75" customHeight="1" s="125"/>
    <row r="392" ht="12.75" customHeight="1" s="125"/>
    <row r="393" ht="12.75" customHeight="1" s="125"/>
    <row r="394" ht="12.75" customHeight="1" s="125"/>
    <row r="395" ht="12.75" customHeight="1" s="125"/>
    <row r="396" ht="12.75" customHeight="1" s="125"/>
    <row r="397" ht="12.75" customHeight="1" s="125"/>
    <row r="398" ht="12.75" customHeight="1" s="125"/>
    <row r="399" ht="12.75" customHeight="1" s="125"/>
    <row r="400" ht="12.75" customHeight="1" s="125"/>
    <row r="401" ht="12.75" customHeight="1" s="125"/>
    <row r="402" ht="12.75" customHeight="1" s="125"/>
    <row r="403" ht="12.75" customHeight="1" s="125"/>
    <row r="404" ht="12.75" customHeight="1" s="125"/>
    <row r="405" ht="12.75" customHeight="1" s="125"/>
    <row r="406" ht="12.75" customHeight="1" s="125"/>
    <row r="407" ht="12.75" customHeight="1" s="125"/>
    <row r="408" ht="12.75" customHeight="1" s="125"/>
    <row r="409" ht="12.75" customHeight="1" s="125"/>
    <row r="410" ht="12.75" customHeight="1" s="125"/>
    <row r="411" ht="12.75" customHeight="1" s="125"/>
    <row r="412" ht="12.75" customHeight="1" s="125"/>
    <row r="413" ht="12.75" customHeight="1" s="125"/>
    <row r="414" ht="12.75" customHeight="1" s="125"/>
    <row r="415" ht="12.75" customHeight="1" s="125"/>
    <row r="416" ht="12.75" customHeight="1" s="125"/>
    <row r="417" ht="12.75" customHeight="1" s="125"/>
    <row r="418" ht="12.75" customHeight="1" s="125"/>
    <row r="419" ht="12.75" customHeight="1" s="125"/>
    <row r="420" ht="12.75" customHeight="1" s="125"/>
    <row r="421" ht="12.75" customHeight="1" s="125"/>
    <row r="422" ht="12.75" customHeight="1" s="125"/>
    <row r="423" ht="12.75" customHeight="1" s="125"/>
    <row r="424" ht="12.75" customHeight="1" s="125"/>
    <row r="425" ht="12.75" customHeight="1" s="125"/>
    <row r="426" ht="12.75" customHeight="1" s="125"/>
    <row r="427" ht="12.75" customHeight="1" s="125"/>
    <row r="428" ht="12.75" customHeight="1" s="125"/>
    <row r="429" ht="12.75" customHeight="1" s="125"/>
    <row r="430" ht="12.75" customHeight="1" s="125"/>
    <row r="431" ht="12.75" customHeight="1" s="125"/>
    <row r="432" ht="12.75" customHeight="1" s="125"/>
    <row r="433" ht="12.75" customHeight="1" s="125"/>
    <row r="434" ht="12.75" customHeight="1" s="125"/>
    <row r="435" ht="12.75" customHeight="1" s="125"/>
    <row r="436" ht="12.75" customHeight="1" s="125"/>
    <row r="437" ht="12.75" customHeight="1" s="125"/>
    <row r="438" ht="12.75" customHeight="1" s="125"/>
    <row r="439" ht="12.75" customHeight="1" s="125"/>
    <row r="440" ht="12.75" customHeight="1" s="125"/>
    <row r="441" ht="12.75" customHeight="1" s="125"/>
    <row r="442" ht="12.75" customHeight="1" s="125"/>
    <row r="443" ht="12.75" customHeight="1" s="125"/>
    <row r="444" ht="12.75" customHeight="1" s="125"/>
    <row r="445" ht="12.75" customHeight="1" s="125"/>
    <row r="446" ht="12.75" customHeight="1" s="125"/>
    <row r="447" ht="12.75" customHeight="1" s="125"/>
    <row r="448" ht="12.75" customHeight="1" s="125"/>
    <row r="449" ht="12.75" customHeight="1" s="125"/>
    <row r="450" ht="12.75" customHeight="1" s="125"/>
    <row r="451" ht="12.75" customHeight="1" s="125"/>
    <row r="452" ht="12.75" customHeight="1" s="125"/>
    <row r="453" ht="12.75" customHeight="1" s="125"/>
    <row r="454" ht="12.75" customHeight="1" s="125"/>
    <row r="455" ht="12.75" customHeight="1" s="125"/>
    <row r="456" ht="12.75" customHeight="1" s="125"/>
    <row r="457" ht="12.75" customHeight="1" s="125"/>
    <row r="458" ht="12.75" customHeight="1" s="125"/>
    <row r="459" ht="12.75" customHeight="1" s="125"/>
    <row r="460" ht="12.75" customHeight="1" s="125"/>
    <row r="461" ht="12.75" customHeight="1" s="125"/>
    <row r="462" ht="12.75" customHeight="1" s="125"/>
    <row r="463" ht="12.75" customHeight="1" s="125"/>
    <row r="464" ht="12.75" customHeight="1" s="125"/>
    <row r="465" ht="12.75" customHeight="1" s="125"/>
    <row r="466" ht="12.75" customHeight="1" s="125"/>
    <row r="467" ht="12.75" customHeight="1" s="125"/>
    <row r="468" ht="12.75" customHeight="1" s="125"/>
    <row r="469" ht="12.75" customHeight="1" s="125"/>
    <row r="470" ht="12.75" customHeight="1" s="125"/>
    <row r="471" ht="12.75" customHeight="1" s="125"/>
    <row r="472" ht="12.75" customHeight="1" s="125"/>
    <row r="473" ht="12.75" customHeight="1" s="125"/>
    <row r="474" ht="12.75" customHeight="1" s="125"/>
    <row r="475" ht="12.75" customHeight="1" s="125"/>
    <row r="476" ht="12.75" customHeight="1" s="125"/>
    <row r="477" ht="12.75" customHeight="1" s="125"/>
    <row r="478" ht="12.75" customHeight="1" s="125"/>
    <row r="479" ht="12.75" customHeight="1" s="125"/>
    <row r="480" ht="12.75" customHeight="1" s="125"/>
    <row r="481" ht="12.75" customHeight="1" s="125"/>
    <row r="482" ht="12.75" customHeight="1" s="125"/>
    <row r="483" ht="12.75" customHeight="1" s="125"/>
    <row r="484" ht="12.75" customHeight="1" s="125"/>
    <row r="485" ht="12.75" customHeight="1" s="125"/>
    <row r="486" ht="12.75" customHeight="1" s="125"/>
    <row r="487" ht="12.75" customHeight="1" s="125"/>
    <row r="488" ht="12.75" customHeight="1" s="125"/>
    <row r="489" ht="12.75" customHeight="1" s="125"/>
    <row r="490" ht="12.75" customHeight="1" s="125"/>
    <row r="491" ht="12.75" customHeight="1" s="125"/>
    <row r="492" ht="12.75" customHeight="1" s="125"/>
    <row r="493" ht="12.75" customHeight="1" s="125"/>
    <row r="494" ht="12.75" customHeight="1" s="125"/>
    <row r="495" ht="12.75" customHeight="1" s="125"/>
    <row r="496" ht="12.75" customHeight="1" s="125"/>
    <row r="497" ht="12.75" customHeight="1" s="125"/>
    <row r="498" ht="12.75" customHeight="1" s="125"/>
    <row r="499" ht="12.75" customHeight="1" s="125"/>
    <row r="500" ht="12.75" customHeight="1" s="125"/>
    <row r="501" ht="12.75" customHeight="1" s="125"/>
    <row r="502" ht="12.75" customHeight="1" s="125"/>
    <row r="503" ht="12.75" customHeight="1" s="125"/>
    <row r="504" ht="12.75" customHeight="1" s="125"/>
    <row r="505" ht="12.75" customHeight="1" s="125"/>
    <row r="506" ht="12.75" customHeight="1" s="125"/>
    <row r="507" ht="12.75" customHeight="1" s="125"/>
    <row r="508" ht="12.75" customHeight="1" s="125"/>
    <row r="509" ht="12.75" customHeight="1" s="125"/>
    <row r="510" ht="12.75" customHeight="1" s="125"/>
    <row r="511" ht="12.75" customHeight="1" s="125"/>
    <row r="512" ht="12.75" customHeight="1" s="125"/>
    <row r="513" ht="12.75" customHeight="1" s="125"/>
    <row r="514" ht="12.75" customHeight="1" s="125"/>
    <row r="515" ht="12.75" customHeight="1" s="125"/>
    <row r="516" ht="12.75" customHeight="1" s="125"/>
    <row r="517" ht="12.75" customHeight="1" s="125"/>
    <row r="518" ht="12.75" customHeight="1" s="125"/>
    <row r="519" ht="12.75" customHeight="1" s="125"/>
    <row r="520" ht="12.75" customHeight="1" s="125"/>
    <row r="521" ht="12.75" customHeight="1" s="125"/>
    <row r="522" ht="12.75" customHeight="1" s="125"/>
    <row r="523" ht="12.75" customHeight="1" s="125"/>
    <row r="524" ht="12.75" customHeight="1" s="125"/>
    <row r="525" ht="12.75" customHeight="1" s="125"/>
    <row r="526" ht="12.75" customHeight="1" s="125"/>
    <row r="527" ht="12.75" customHeight="1" s="125"/>
    <row r="528" ht="12.75" customHeight="1" s="125"/>
    <row r="529" ht="12.75" customHeight="1" s="125"/>
    <row r="530" ht="12.75" customHeight="1" s="125"/>
    <row r="531" ht="12.75" customHeight="1" s="125"/>
    <row r="532" ht="12.75" customHeight="1" s="125"/>
    <row r="533" ht="12.75" customHeight="1" s="125"/>
    <row r="534" ht="12.75" customHeight="1" s="125"/>
    <row r="535" ht="12.75" customHeight="1" s="125"/>
    <row r="536" ht="12.75" customHeight="1" s="125"/>
    <row r="537" ht="12.75" customHeight="1" s="125"/>
    <row r="538" ht="12.75" customHeight="1" s="125"/>
    <row r="539" ht="12.75" customHeight="1" s="125"/>
    <row r="540" ht="12.75" customHeight="1" s="125"/>
    <row r="541" ht="12.75" customHeight="1" s="125"/>
    <row r="542" ht="12.75" customHeight="1" s="125"/>
    <row r="543" ht="12.75" customHeight="1" s="125"/>
    <row r="544" ht="12.75" customHeight="1" s="125"/>
    <row r="545" ht="12.75" customHeight="1" s="125"/>
    <row r="546" ht="12.75" customHeight="1" s="125"/>
    <row r="547" ht="12.75" customHeight="1" s="125"/>
    <row r="548" ht="12.75" customHeight="1" s="125"/>
    <row r="549" ht="12.75" customHeight="1" s="125"/>
    <row r="550" ht="12.75" customHeight="1" s="125"/>
    <row r="551" ht="12.75" customHeight="1" s="125"/>
    <row r="552" ht="12.75" customHeight="1" s="125"/>
    <row r="553" ht="12.75" customHeight="1" s="125"/>
    <row r="554" ht="12.75" customHeight="1" s="125"/>
    <row r="555" ht="12.75" customHeight="1" s="125"/>
    <row r="556" ht="12.75" customHeight="1" s="125"/>
    <row r="557" ht="12.75" customHeight="1" s="125"/>
    <row r="558" ht="12.75" customHeight="1" s="125"/>
    <row r="559" ht="12.75" customHeight="1" s="125"/>
    <row r="560" ht="12.75" customHeight="1" s="125"/>
    <row r="561" ht="12.75" customHeight="1" s="125"/>
    <row r="562" ht="12.75" customHeight="1" s="125"/>
    <row r="563" ht="12.75" customHeight="1" s="125"/>
    <row r="564" ht="12.75" customHeight="1" s="125"/>
    <row r="565" ht="12.75" customHeight="1" s="125"/>
    <row r="566" ht="12.75" customHeight="1" s="125"/>
    <row r="567" ht="12.75" customHeight="1" s="125"/>
    <row r="568" ht="12.75" customHeight="1" s="125"/>
    <row r="569" ht="12.75" customHeight="1" s="125"/>
    <row r="570" ht="12.75" customHeight="1" s="125"/>
    <row r="571" ht="12.75" customHeight="1" s="125"/>
    <row r="572" ht="12.75" customHeight="1" s="125"/>
    <row r="573" ht="12.75" customHeight="1" s="125"/>
    <row r="574" ht="12.75" customHeight="1" s="125"/>
    <row r="575" ht="12.75" customHeight="1" s="125"/>
    <row r="576" ht="12.75" customHeight="1" s="125"/>
    <row r="577" ht="12.75" customHeight="1" s="125"/>
    <row r="578" ht="12.75" customHeight="1" s="125"/>
    <row r="579" ht="12.75" customHeight="1" s="125"/>
    <row r="580" ht="12.75" customHeight="1" s="125"/>
    <row r="581" ht="12.75" customHeight="1" s="125"/>
    <row r="582" ht="12.75" customHeight="1" s="125"/>
    <row r="583" ht="12.75" customHeight="1" s="125"/>
    <row r="584" ht="12.75" customHeight="1" s="125"/>
    <row r="585" ht="12.75" customHeight="1" s="125"/>
    <row r="586" ht="12.75" customHeight="1" s="125"/>
    <row r="587" ht="12.75" customHeight="1" s="125"/>
    <row r="588" ht="12.75" customHeight="1" s="125"/>
    <row r="589" ht="12.75" customHeight="1" s="125"/>
    <row r="590" ht="12.75" customHeight="1" s="125"/>
    <row r="591" ht="12.75" customHeight="1" s="125"/>
    <row r="592" ht="12.75" customHeight="1" s="125"/>
    <row r="593" ht="12.75" customHeight="1" s="125"/>
    <row r="594" ht="12.75" customHeight="1" s="125"/>
    <row r="595" ht="12.75" customHeight="1" s="125"/>
    <row r="596" ht="12.75" customHeight="1" s="125"/>
    <row r="597" ht="12.75" customHeight="1" s="125"/>
    <row r="598" ht="12.75" customHeight="1" s="125"/>
    <row r="599" ht="12.75" customHeight="1" s="125"/>
    <row r="600" ht="12.75" customHeight="1" s="125"/>
    <row r="601" ht="12.75" customHeight="1" s="125"/>
    <row r="602" ht="12.75" customHeight="1" s="125"/>
    <row r="603" ht="12.75" customHeight="1" s="125"/>
    <row r="604" ht="12.75" customHeight="1" s="125"/>
    <row r="605" ht="12.75" customHeight="1" s="125"/>
    <row r="606" ht="12.75" customHeight="1" s="125"/>
    <row r="607" ht="12.75" customHeight="1" s="125"/>
    <row r="608" ht="12.75" customHeight="1" s="125"/>
    <row r="609" ht="12.75" customHeight="1" s="125"/>
    <row r="610" ht="12.75" customHeight="1" s="125"/>
    <row r="611" ht="12.75" customHeight="1" s="125"/>
    <row r="612" ht="12.75" customHeight="1" s="125"/>
    <row r="613" ht="12.75" customHeight="1" s="125"/>
    <row r="614" ht="12.75" customHeight="1" s="125"/>
    <row r="615" ht="12.75" customHeight="1" s="125"/>
    <row r="616" ht="12.75" customHeight="1" s="125"/>
    <row r="617" ht="12.75" customHeight="1" s="125"/>
    <row r="618" ht="12.75" customHeight="1" s="125"/>
    <row r="619" ht="12.75" customHeight="1" s="125"/>
    <row r="620" ht="12.75" customHeight="1" s="125"/>
    <row r="621" ht="12.75" customHeight="1" s="125"/>
    <row r="622" ht="12.75" customHeight="1" s="125"/>
    <row r="623" ht="12.75" customHeight="1" s="125"/>
    <row r="624" ht="12.75" customHeight="1" s="125"/>
    <row r="625" ht="12.75" customHeight="1" s="125"/>
    <row r="626" ht="12.75" customHeight="1" s="125"/>
    <row r="627" ht="12.75" customHeight="1" s="125"/>
    <row r="628" ht="12.75" customHeight="1" s="125"/>
    <row r="629" ht="12.75" customHeight="1" s="125"/>
    <row r="630" ht="12.75" customHeight="1" s="125"/>
    <row r="631" ht="12.75" customHeight="1" s="125"/>
    <row r="632" ht="12.75" customHeight="1" s="125"/>
    <row r="633" ht="12.75" customHeight="1" s="125"/>
    <row r="634" ht="12.75" customHeight="1" s="125"/>
    <row r="635" ht="12.75" customHeight="1" s="125"/>
    <row r="636" ht="12.75" customHeight="1" s="125"/>
    <row r="637" ht="12.75" customHeight="1" s="125"/>
    <row r="638" ht="12.75" customHeight="1" s="125"/>
    <row r="639" ht="12.75" customHeight="1" s="125"/>
    <row r="640" ht="12.75" customHeight="1" s="125"/>
    <row r="641" ht="12.75" customHeight="1" s="125"/>
    <row r="642" ht="12.75" customHeight="1" s="125"/>
    <row r="643" ht="12.75" customHeight="1" s="125"/>
    <row r="644" ht="12.75" customHeight="1" s="125"/>
    <row r="645" ht="12.75" customHeight="1" s="125"/>
    <row r="646" ht="12.75" customHeight="1" s="125"/>
    <row r="647" ht="12.75" customHeight="1" s="125"/>
    <row r="648" ht="12.75" customHeight="1" s="125"/>
    <row r="649" ht="12.75" customHeight="1" s="125"/>
    <row r="650" ht="12.75" customHeight="1" s="125"/>
    <row r="651" ht="12.75" customHeight="1" s="125"/>
    <row r="652" ht="12.75" customHeight="1" s="125"/>
    <row r="653" ht="12.75" customHeight="1" s="125"/>
    <row r="654" ht="12.75" customHeight="1" s="125"/>
    <row r="655" ht="12.75" customHeight="1" s="125"/>
    <row r="656" ht="12.75" customHeight="1" s="125"/>
    <row r="657" ht="12.75" customHeight="1" s="125"/>
    <row r="658" ht="12.75" customHeight="1" s="125"/>
    <row r="659" ht="12.75" customHeight="1" s="125"/>
    <row r="660" ht="12.75" customHeight="1" s="125"/>
    <row r="661" ht="12.75" customHeight="1" s="125"/>
    <row r="662" ht="12.75" customHeight="1" s="125"/>
    <row r="663" ht="12.75" customHeight="1" s="125"/>
    <row r="664" ht="12.75" customHeight="1" s="125"/>
    <row r="665" ht="12.75" customHeight="1" s="125"/>
    <row r="666" ht="12.75" customHeight="1" s="125"/>
    <row r="667" ht="12.75" customHeight="1" s="125"/>
    <row r="668" ht="12.75" customHeight="1" s="125"/>
    <row r="669" ht="12.75" customHeight="1" s="125"/>
    <row r="670" ht="12.75" customHeight="1" s="125"/>
    <row r="671" ht="12.75" customHeight="1" s="125"/>
    <row r="672" ht="12.75" customHeight="1" s="125"/>
    <row r="673" ht="12.75" customHeight="1" s="125"/>
    <row r="674" ht="12.75" customHeight="1" s="125"/>
    <row r="675" ht="12.75" customHeight="1" s="125"/>
    <row r="676" ht="12.75" customHeight="1" s="125"/>
    <row r="677" ht="12.75" customHeight="1" s="125"/>
    <row r="678" ht="12.75" customHeight="1" s="125"/>
    <row r="679" ht="12.75" customHeight="1" s="125"/>
    <row r="680" ht="12.75" customHeight="1" s="125"/>
    <row r="681" ht="12.75" customHeight="1" s="125"/>
    <row r="682" ht="12.75" customHeight="1" s="125"/>
    <row r="683" ht="12.75" customHeight="1" s="125"/>
    <row r="684" ht="12.75" customHeight="1" s="125"/>
    <row r="685" ht="12.75" customHeight="1" s="125"/>
    <row r="686" ht="12.75" customHeight="1" s="125"/>
    <row r="687" ht="12.75" customHeight="1" s="125"/>
    <row r="688" ht="12.75" customHeight="1" s="125"/>
    <row r="689" ht="12.75" customHeight="1" s="125"/>
    <row r="690" ht="12.75" customHeight="1" s="125"/>
    <row r="691" ht="12.75" customHeight="1" s="125"/>
    <row r="692" ht="12.75" customHeight="1" s="125"/>
    <row r="693" ht="12.75" customHeight="1" s="125"/>
    <row r="694" ht="12.75" customHeight="1" s="125"/>
    <row r="695" ht="12.75" customHeight="1" s="125"/>
    <row r="696" ht="12.75" customHeight="1" s="125"/>
    <row r="697" ht="12.75" customHeight="1" s="125"/>
    <row r="698" ht="12.75" customHeight="1" s="125"/>
    <row r="699" ht="12.75" customHeight="1" s="125"/>
    <row r="700" ht="12.75" customHeight="1" s="125"/>
    <row r="701" ht="12.75" customHeight="1" s="125"/>
    <row r="702" ht="12.75" customHeight="1" s="125"/>
    <row r="703" ht="12.75" customHeight="1" s="125"/>
    <row r="704" ht="12.75" customHeight="1" s="125"/>
    <row r="705" ht="12.75" customHeight="1" s="125"/>
    <row r="706" ht="12.75" customHeight="1" s="125"/>
    <row r="707" ht="12.75" customHeight="1" s="125"/>
    <row r="708" ht="12.75" customHeight="1" s="125"/>
    <row r="709" ht="12.75" customHeight="1" s="125"/>
    <row r="710" ht="12.75" customHeight="1" s="125"/>
    <row r="711" ht="12.75" customHeight="1" s="125"/>
    <row r="712" ht="12.75" customHeight="1" s="125"/>
    <row r="713" ht="12.75" customHeight="1" s="125"/>
    <row r="714" ht="12.75" customHeight="1" s="125"/>
    <row r="715" ht="12.75" customHeight="1" s="125"/>
    <row r="716" ht="12.75" customHeight="1" s="125"/>
    <row r="717" ht="12.75" customHeight="1" s="125"/>
    <row r="718" ht="12.75" customHeight="1" s="125"/>
    <row r="719" ht="12.75" customHeight="1" s="125"/>
    <row r="720" ht="12.75" customHeight="1" s="125"/>
    <row r="721" ht="12.75" customHeight="1" s="125"/>
    <row r="722" ht="12.75" customHeight="1" s="125"/>
    <row r="723" ht="12.75" customHeight="1" s="125"/>
    <row r="724" ht="12.75" customHeight="1" s="125"/>
    <row r="725" ht="12.75" customHeight="1" s="125"/>
    <row r="726" ht="12.75" customHeight="1" s="125"/>
    <row r="727" ht="12.75" customHeight="1" s="125"/>
    <row r="728" ht="12.75" customHeight="1" s="125"/>
    <row r="729" ht="12.75" customHeight="1" s="125"/>
    <row r="730" ht="12.75" customHeight="1" s="125"/>
    <row r="731" ht="12.75" customHeight="1" s="125"/>
    <row r="732" ht="12.75" customHeight="1" s="125"/>
    <row r="733" ht="12.75" customHeight="1" s="125"/>
    <row r="734" ht="12.75" customHeight="1" s="125"/>
    <row r="735" ht="12.75" customHeight="1" s="125"/>
    <row r="736" ht="12.75" customHeight="1" s="125"/>
    <row r="737" ht="12.75" customHeight="1" s="125"/>
    <row r="738" ht="12.75" customHeight="1" s="125"/>
    <row r="739" ht="12.75" customHeight="1" s="125"/>
    <row r="740" ht="12.75" customHeight="1" s="125"/>
    <row r="741" ht="12.75" customHeight="1" s="125"/>
    <row r="742" ht="12.75" customHeight="1" s="125"/>
    <row r="743" ht="12.75" customHeight="1" s="125"/>
    <row r="744" ht="12.75" customHeight="1" s="125"/>
    <row r="745" ht="12.75" customHeight="1" s="125"/>
    <row r="746" ht="12.75" customHeight="1" s="125"/>
    <row r="747" ht="12.75" customHeight="1" s="125"/>
    <row r="748" ht="12.75" customHeight="1" s="125"/>
    <row r="749" ht="12.75" customHeight="1" s="125"/>
    <row r="750" ht="12.75" customHeight="1" s="125"/>
    <row r="751" ht="12.75" customHeight="1" s="125"/>
    <row r="752" ht="12.75" customHeight="1" s="125"/>
    <row r="753" ht="12.75" customHeight="1" s="125"/>
    <row r="754" ht="12.75" customHeight="1" s="125"/>
    <row r="755" ht="12.75" customHeight="1" s="125"/>
    <row r="756" ht="12.75" customHeight="1" s="125"/>
    <row r="757" ht="12.75" customHeight="1" s="125"/>
    <row r="758" ht="12.75" customHeight="1" s="125"/>
    <row r="759" ht="12.75" customHeight="1" s="125"/>
    <row r="760" ht="12.75" customHeight="1" s="125"/>
    <row r="761" ht="12.75" customHeight="1" s="125"/>
    <row r="762" ht="12.75" customHeight="1" s="125"/>
    <row r="763" ht="12.75" customHeight="1" s="125"/>
    <row r="764" ht="12.75" customHeight="1" s="125"/>
    <row r="765" ht="12.75" customHeight="1" s="125"/>
    <row r="766" ht="12.75" customHeight="1" s="125"/>
    <row r="767" ht="12.75" customHeight="1" s="125"/>
    <row r="768" ht="12.75" customHeight="1" s="125"/>
    <row r="769" ht="12.75" customHeight="1" s="125"/>
    <row r="770" ht="12.75" customHeight="1" s="125"/>
    <row r="771" ht="12.75" customHeight="1" s="125"/>
    <row r="772" ht="12.75" customHeight="1" s="125"/>
    <row r="773" ht="12.75" customHeight="1" s="125"/>
    <row r="774" ht="12.75" customHeight="1" s="125"/>
    <row r="775" ht="12.75" customHeight="1" s="125"/>
    <row r="776" ht="12.75" customHeight="1" s="125"/>
    <row r="777" ht="12.75" customHeight="1" s="125"/>
    <row r="778" ht="12.75" customHeight="1" s="125"/>
    <row r="779" ht="12.75" customHeight="1" s="125"/>
    <row r="780" ht="12.75" customHeight="1" s="125"/>
    <row r="781" ht="12.75" customHeight="1" s="125"/>
    <row r="782" ht="12.75" customHeight="1" s="125"/>
    <row r="783" ht="12.75" customHeight="1" s="125"/>
    <row r="784" ht="12.75" customHeight="1" s="125"/>
    <row r="785" ht="12.75" customHeight="1" s="125"/>
    <row r="786" ht="12.75" customHeight="1" s="125"/>
    <row r="787" ht="12.75" customHeight="1" s="125"/>
    <row r="788" ht="12.75" customHeight="1" s="125"/>
    <row r="789" ht="12.75" customHeight="1" s="125"/>
    <row r="790" ht="12.75" customHeight="1" s="125"/>
    <row r="791" ht="12.75" customHeight="1" s="125"/>
    <row r="792" ht="12.75" customHeight="1" s="125"/>
    <row r="793" ht="12.75" customHeight="1" s="125"/>
    <row r="794" ht="12.75" customHeight="1" s="125"/>
    <row r="795" ht="12.75" customHeight="1" s="125"/>
    <row r="796" ht="12.75" customHeight="1" s="125"/>
    <row r="797" ht="12.75" customHeight="1" s="125"/>
    <row r="798" ht="12.75" customHeight="1" s="125"/>
    <row r="799" ht="12.75" customHeight="1" s="125"/>
    <row r="800" ht="12.75" customHeight="1" s="125"/>
    <row r="801" ht="12.75" customHeight="1" s="125"/>
    <row r="802" ht="12.75" customHeight="1" s="125"/>
    <row r="803" ht="12.75" customHeight="1" s="125"/>
    <row r="804" ht="12.75" customHeight="1" s="125"/>
    <row r="805" ht="12.75" customHeight="1" s="125"/>
    <row r="806" ht="12.75" customHeight="1" s="125"/>
    <row r="807" ht="12.75" customHeight="1" s="125"/>
    <row r="808" ht="12.75" customHeight="1" s="125"/>
    <row r="809" ht="12.75" customHeight="1" s="125"/>
    <row r="810" ht="12.75" customHeight="1" s="125"/>
    <row r="811" ht="12.75" customHeight="1" s="125"/>
    <row r="812" ht="12.75" customHeight="1" s="125"/>
    <row r="813" ht="12.75" customHeight="1" s="125"/>
    <row r="814" ht="12.75" customHeight="1" s="125"/>
    <row r="815" ht="12.75" customHeight="1" s="125"/>
    <row r="816" ht="12.75" customHeight="1" s="125"/>
    <row r="817" ht="12.75" customHeight="1" s="125"/>
    <row r="818" ht="12.75" customHeight="1" s="125"/>
    <row r="819" ht="12.75" customHeight="1" s="125"/>
    <row r="820" ht="12.75" customHeight="1" s="125"/>
    <row r="821" ht="12.75" customHeight="1" s="125"/>
    <row r="822" ht="12.75" customHeight="1" s="125"/>
    <row r="823" ht="12.75" customHeight="1" s="125"/>
    <row r="824" ht="12.75" customHeight="1" s="125"/>
    <row r="825" ht="12.75" customHeight="1" s="125"/>
    <row r="826" ht="12.75" customHeight="1" s="125"/>
    <row r="827" ht="12.75" customHeight="1" s="125"/>
    <row r="828" ht="12.75" customHeight="1" s="125"/>
    <row r="829" ht="12.75" customHeight="1" s="125"/>
    <row r="830" ht="12.75" customHeight="1" s="125"/>
    <row r="831" ht="12.75" customHeight="1" s="125"/>
    <row r="832" ht="12.75" customHeight="1" s="125"/>
    <row r="833" ht="12.75" customHeight="1" s="125"/>
    <row r="834" ht="12.75" customHeight="1" s="125"/>
    <row r="835" ht="12.75" customHeight="1" s="125"/>
    <row r="836" ht="12.75" customHeight="1" s="125"/>
    <row r="837" ht="12.75" customHeight="1" s="125"/>
    <row r="838" ht="12.75" customHeight="1" s="125"/>
    <row r="839" ht="12.75" customHeight="1" s="125"/>
    <row r="840" ht="12.75" customHeight="1" s="125"/>
    <row r="841" ht="12.75" customHeight="1" s="125"/>
    <row r="842" ht="12.75" customHeight="1" s="125"/>
    <row r="843" ht="12.75" customHeight="1" s="125"/>
    <row r="844" ht="12.75" customHeight="1" s="125"/>
    <row r="845" ht="12.75" customHeight="1" s="125"/>
    <row r="846" ht="12.75" customHeight="1" s="125"/>
    <row r="847" ht="12.75" customHeight="1" s="125"/>
    <row r="848" ht="12.75" customHeight="1" s="125"/>
    <row r="849" ht="12.75" customHeight="1" s="125"/>
    <row r="850" ht="12.75" customHeight="1" s="125"/>
    <row r="851" ht="12.75" customHeight="1" s="125"/>
    <row r="852" ht="12.75" customHeight="1" s="125"/>
    <row r="853" ht="12.75" customHeight="1" s="125"/>
    <row r="854" ht="12.75" customHeight="1" s="125"/>
    <row r="855" ht="12.75" customHeight="1" s="125"/>
    <row r="856" ht="12.75" customHeight="1" s="125"/>
    <row r="857" ht="12.75" customHeight="1" s="125"/>
    <row r="858" ht="12.75" customHeight="1" s="125"/>
    <row r="859" ht="12.75" customHeight="1" s="125"/>
    <row r="860" ht="12.75" customHeight="1" s="125"/>
    <row r="861" ht="12.75" customHeight="1" s="125"/>
    <row r="862" ht="12.75" customHeight="1" s="125"/>
    <row r="863" ht="12.75" customHeight="1" s="125"/>
    <row r="864" ht="12.75" customHeight="1" s="125"/>
    <row r="865" ht="12.75" customHeight="1" s="125"/>
    <row r="866" ht="12.75" customHeight="1" s="125"/>
    <row r="867" ht="12.75" customHeight="1" s="125"/>
    <row r="868" ht="12.75" customHeight="1" s="125"/>
    <row r="869" ht="12.75" customHeight="1" s="125"/>
    <row r="870" ht="12.75" customHeight="1" s="125"/>
    <row r="871" ht="12.75" customHeight="1" s="125"/>
    <row r="872" ht="12.75" customHeight="1" s="125"/>
    <row r="873" ht="12.75" customHeight="1" s="125"/>
    <row r="874" ht="12.75" customHeight="1" s="125"/>
    <row r="875" ht="12.75" customHeight="1" s="125"/>
    <row r="876" ht="12.75" customHeight="1" s="125"/>
    <row r="877" ht="12.75" customHeight="1" s="125"/>
    <row r="878" ht="12.75" customHeight="1" s="125"/>
    <row r="879" ht="12.75" customHeight="1" s="125"/>
    <row r="880" ht="12.75" customHeight="1" s="125"/>
    <row r="881" ht="12.75" customHeight="1" s="125"/>
    <row r="882" ht="12.75" customHeight="1" s="125"/>
    <row r="883" ht="12.75" customHeight="1" s="125"/>
    <row r="884" ht="12.75" customHeight="1" s="125"/>
    <row r="885" ht="12.75" customHeight="1" s="125"/>
    <row r="886" ht="12.75" customHeight="1" s="125"/>
    <row r="887" ht="12.75" customHeight="1" s="125"/>
    <row r="888" ht="12.75" customHeight="1" s="125"/>
    <row r="889" ht="12.75" customHeight="1" s="125"/>
    <row r="890" ht="12.75" customHeight="1" s="125"/>
    <row r="891" ht="12.75" customHeight="1" s="125"/>
    <row r="892" ht="12.75" customHeight="1" s="125"/>
    <row r="893" ht="12.75" customHeight="1" s="125"/>
    <row r="894" ht="12.75" customHeight="1" s="125"/>
    <row r="895" ht="12.75" customHeight="1" s="125"/>
    <row r="896" ht="12.75" customHeight="1" s="125"/>
    <row r="897" ht="12.75" customHeight="1" s="125"/>
    <row r="898" ht="12.75" customHeight="1" s="125"/>
    <row r="899" ht="12.75" customHeight="1" s="125"/>
    <row r="900" ht="12.75" customHeight="1" s="125"/>
    <row r="901" ht="12.75" customHeight="1" s="125"/>
    <row r="902" ht="12.75" customHeight="1" s="125"/>
    <row r="903" ht="12.75" customHeight="1" s="125"/>
    <row r="904" ht="12.75" customHeight="1" s="125"/>
    <row r="905" ht="12.75" customHeight="1" s="125"/>
    <row r="906" ht="12.75" customHeight="1" s="125"/>
    <row r="907" ht="12.75" customHeight="1" s="125"/>
    <row r="908" ht="12.75" customHeight="1" s="125"/>
    <row r="909" ht="12.75" customHeight="1" s="125"/>
    <row r="910" ht="12.75" customHeight="1" s="125"/>
    <row r="911" ht="12.75" customHeight="1" s="125"/>
    <row r="912" ht="12.75" customHeight="1" s="125"/>
    <row r="913" ht="12.75" customHeight="1" s="125"/>
    <row r="914" ht="12.75" customHeight="1" s="125"/>
    <row r="915" ht="12.75" customHeight="1" s="125"/>
    <row r="916" ht="12.75" customHeight="1" s="125"/>
    <row r="917" ht="12.75" customHeight="1" s="125"/>
    <row r="918" ht="12.75" customHeight="1" s="125"/>
    <row r="919" ht="12.75" customHeight="1" s="125"/>
    <row r="920" ht="12.75" customHeight="1" s="125"/>
    <row r="921" ht="12.75" customHeight="1" s="125"/>
    <row r="922" ht="12.75" customHeight="1" s="125"/>
    <row r="923" ht="12.75" customHeight="1" s="125"/>
    <row r="924" ht="12.75" customHeight="1" s="125"/>
    <row r="925" ht="12.75" customHeight="1" s="125"/>
    <row r="926" ht="12.75" customHeight="1" s="125"/>
    <row r="927" ht="12.75" customHeight="1" s="125"/>
    <row r="928" ht="12.75" customHeight="1" s="125"/>
    <row r="929" ht="12.75" customHeight="1" s="125"/>
    <row r="930" ht="12.75" customHeight="1" s="125"/>
    <row r="931" ht="12.75" customHeight="1" s="125"/>
    <row r="932" ht="12.75" customHeight="1" s="125"/>
    <row r="933" ht="12.75" customHeight="1" s="125"/>
    <row r="934" ht="12.75" customHeight="1" s="125"/>
    <row r="935" ht="12.75" customHeight="1" s="125"/>
    <row r="936" ht="12.75" customHeight="1" s="125"/>
    <row r="937" ht="12.75" customHeight="1" s="125"/>
    <row r="938" ht="12.75" customHeight="1" s="125"/>
    <row r="939" ht="12.75" customHeight="1" s="125"/>
    <row r="940" ht="12.75" customHeight="1" s="125"/>
    <row r="941" ht="12.75" customHeight="1" s="125"/>
    <row r="942" ht="12.75" customHeight="1" s="125"/>
    <row r="943" ht="12.75" customHeight="1" s="125"/>
    <row r="944" ht="12.75" customHeight="1" s="125"/>
    <row r="945" ht="12.75" customHeight="1" s="125"/>
    <row r="946" ht="12.75" customHeight="1" s="125"/>
    <row r="947" ht="12.75" customHeight="1" s="125"/>
    <row r="948" ht="12.75" customHeight="1" s="125"/>
    <row r="949" ht="12.75" customHeight="1" s="125"/>
    <row r="950" ht="12.75" customHeight="1" s="125"/>
    <row r="951" ht="12.75" customHeight="1" s="125"/>
    <row r="952" ht="12.75" customHeight="1" s="125"/>
    <row r="953" ht="12.75" customHeight="1" s="125"/>
    <row r="954" ht="12.75" customHeight="1" s="125"/>
    <row r="955" ht="12.75" customHeight="1" s="125"/>
    <row r="956" ht="12.75" customHeight="1" s="125"/>
    <row r="957" ht="12.75" customHeight="1" s="125"/>
    <row r="958" ht="12.75" customHeight="1" s="125"/>
    <row r="959" ht="12.75" customHeight="1" s="125"/>
    <row r="960" ht="12.75" customHeight="1" s="125"/>
    <row r="961" ht="12.75" customHeight="1" s="125"/>
    <row r="962" ht="12.75" customHeight="1" s="125"/>
    <row r="963" ht="12.75" customHeight="1" s="125"/>
    <row r="964" ht="12.75" customHeight="1" s="125"/>
    <row r="965" ht="12.75" customHeight="1" s="125"/>
    <row r="966" ht="12.75" customHeight="1" s="125"/>
    <row r="967" ht="12.75" customHeight="1" s="125"/>
    <row r="968" ht="12.75" customHeight="1" s="125"/>
    <row r="969" ht="12.75" customHeight="1" s="125"/>
    <row r="970" ht="12.75" customHeight="1" s="125"/>
    <row r="971" ht="12.75" customHeight="1" s="125"/>
    <row r="972" ht="12.75" customHeight="1" s="125"/>
    <row r="973" ht="12.75" customHeight="1" s="125"/>
    <row r="974" ht="12.75" customHeight="1" s="125"/>
    <row r="975" ht="12.75" customHeight="1" s="125"/>
    <row r="976" ht="12.75" customHeight="1" s="125"/>
    <row r="977" ht="12.75" customHeight="1" s="125"/>
    <row r="978" ht="12.75" customHeight="1" s="125"/>
    <row r="979" ht="12.75" customHeight="1" s="125"/>
    <row r="980" ht="12.75" customHeight="1" s="125"/>
    <row r="981" ht="12.75" customHeight="1" s="125"/>
    <row r="982" ht="12.75" customHeight="1" s="125"/>
    <row r="983" ht="12.75" customHeight="1" s="125"/>
    <row r="984" ht="12.75" customHeight="1" s="125"/>
    <row r="985" ht="12.75" customHeight="1" s="125"/>
    <row r="986" ht="12.75" customHeight="1" s="125"/>
    <row r="987" ht="12.75" customHeight="1" s="125"/>
    <row r="988" ht="12.75" customHeight="1" s="125"/>
    <row r="989" ht="12.75" customHeight="1" s="125"/>
    <row r="990" ht="12.75" customHeight="1" s="125"/>
    <row r="991" ht="12.75" customHeight="1" s="125"/>
    <row r="992" ht="12.75" customHeight="1" s="125"/>
    <row r="993" ht="12.75" customHeight="1" s="125"/>
    <row r="994" ht="12.75" customHeight="1" s="125"/>
    <row r="995" ht="12.75" customHeight="1" s="125"/>
    <row r="996" ht="12.75" customHeight="1" s="125"/>
    <row r="997" ht="12.75" customHeight="1" s="125"/>
    <row r="998" ht="12.75" customHeight="1" s="125"/>
    <row r="999" ht="12.75" customHeight="1" s="125"/>
    <row r="1000" ht="12.75" customHeight="1" s="125"/>
  </sheetData>
  <mergeCells count="6">
    <mergeCell ref="A11:F11"/>
    <mergeCell ref="A4:E4"/>
    <mergeCell ref="A25:E25"/>
    <mergeCell ref="A19:E19"/>
    <mergeCell ref="H14:L14"/>
    <mergeCell ref="H4:L4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廖鼎昌</dc:creator>
  <dcterms:created xmlns:dcterms="http://purl.org/dc/terms/" xmlns:xsi="http://www.w3.org/2001/XMLSchema-instance" xsi:type="dcterms:W3CDTF">2026-01-27T23:53:45Z</dcterms:created>
  <dcterms:modified xmlns:dcterms="http://purl.org/dc/terms/" xmlns:xsi="http://www.w3.org/2001/XMLSchema-instance" xsi:type="dcterms:W3CDTF">2026-08-02T06:43:15Z</dcterms:modified>
  <cp:lastModifiedBy>鼎昌 廖</cp:lastModifiedBy>
</cp:coreProperties>
</file>